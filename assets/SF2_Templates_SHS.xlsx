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defaultThemeVersion="124226"/>
  <mc:AlternateContent xmlns:mc="http://schemas.openxmlformats.org/markup-compatibility/2006">
    <mc:Choice Requires="x15">
      <x15ac:absPath xmlns:x15ac="http://schemas.microsoft.com/office/spreadsheetml/2010/11/ac" url="C:\Users\Jhunrie\Desktop\sf2generator\assets\"/>
    </mc:Choice>
  </mc:AlternateContent>
  <xr:revisionPtr revIDLastSave="0" documentId="13_ncr:1_{6F0843ED-D8B2-48FA-96B0-D2D1A1A3ED53}" xr6:coauthVersionLast="47" xr6:coauthVersionMax="47" xr10:uidLastSave="{00000000-0000-0000-0000-000000000000}"/>
  <bookViews>
    <workbookView xWindow="-120" yWindow="-120" windowWidth="29040" windowHeight="15720" tabRatio="768" xr2:uid="{00000000-000D-0000-FFFF-FFFF00000000}"/>
  </bookViews>
  <sheets>
    <sheet name="template" sheetId="21" r:id="rId1"/>
  </sheets>
  <definedNames>
    <definedName name="_xlnm.Print_Titles" localSheetId="0">template!$10:$12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2" i="21" l="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AR118" i="21"/>
  <c r="AH64" i="21"/>
  <c r="AI64" i="21"/>
  <c r="AJ64" i="21"/>
  <c r="AK64" i="21"/>
  <c r="AL64" i="21"/>
  <c r="AH115" i="21"/>
  <c r="AH116" i="21" s="1"/>
  <c r="AI115" i="21"/>
  <c r="AI116" i="21" s="1"/>
  <c r="AJ115" i="21"/>
  <c r="AJ116" i="21" s="1"/>
  <c r="AK115" i="21"/>
  <c r="AK116" i="21" s="1"/>
  <c r="AL115" i="21"/>
  <c r="AL116" i="21"/>
  <c r="AO114" i="21" a="1"/>
  <c r="AO113" i="21" a="1"/>
  <c r="AO112" i="21" a="1"/>
  <c r="AO111" i="21" a="1"/>
  <c r="AO110" i="21" a="1"/>
  <c r="AO109" i="21" a="1"/>
  <c r="AO108" i="21" a="1"/>
  <c r="AO107" i="21" a="1"/>
  <c r="AO106" i="21" a="1"/>
  <c r="AO105" i="21" a="1"/>
  <c r="AO104" i="21" a="1"/>
  <c r="AO103" i="21" a="1"/>
  <c r="AO102" i="21" a="1"/>
  <c r="AO101" i="21" a="1"/>
  <c r="AO100" i="21" a="1"/>
  <c r="AO99" i="21" a="1"/>
  <c r="AO98" i="21" a="1"/>
  <c r="AO97" i="21" a="1"/>
  <c r="AO96" i="21" a="1"/>
  <c r="AO95" i="21" a="1"/>
  <c r="AO94" i="21" a="1"/>
  <c r="AO93" i="21" a="1"/>
  <c r="AO92" i="21" a="1"/>
  <c r="AO91" i="21" a="1"/>
  <c r="AO90" i="21" a="1"/>
  <c r="AO89" i="21" a="1"/>
  <c r="AO88" i="21" a="1"/>
  <c r="AO87" i="21" a="1"/>
  <c r="AO86" i="21" a="1"/>
  <c r="AO85" i="21" a="1"/>
  <c r="AO84" i="21" a="1"/>
  <c r="AO83" i="21" a="1"/>
  <c r="AO82" i="21" a="1"/>
  <c r="AO81" i="21" a="1"/>
  <c r="AO80" i="21" a="1"/>
  <c r="AO79" i="21" a="1"/>
  <c r="AO78" i="21" a="1"/>
  <c r="AO77" i="21" a="1"/>
  <c r="AO76" i="21" a="1"/>
  <c r="AO75" i="21" a="1"/>
  <c r="AO74" i="21" a="1"/>
  <c r="AO73" i="21" a="1"/>
  <c r="AO72" i="21" a="1"/>
  <c r="AO71" i="21" a="1"/>
  <c r="AO70" i="21" a="1"/>
  <c r="AO69" i="21" a="1"/>
  <c r="AO68" i="21" a="1"/>
  <c r="AO67" i="21" a="1"/>
  <c r="AO66" i="21" a="1"/>
  <c r="AO65" i="21" a="1"/>
  <c r="AO63" i="21" a="1"/>
  <c r="AO62" i="21" a="1"/>
  <c r="AO61" i="21" a="1"/>
  <c r="AO60" i="21" a="1"/>
  <c r="AO59" i="21" a="1"/>
  <c r="AO58" i="21" a="1"/>
  <c r="AO57" i="21" a="1"/>
  <c r="AO56" i="21" a="1"/>
  <c r="AO55" i="21" a="1"/>
  <c r="AO54" i="21" a="1"/>
  <c r="AO43" i="21" a="1"/>
  <c r="AO42" i="21" a="1"/>
  <c r="AO41" i="21" a="1"/>
  <c r="AO40" i="21" a="1"/>
  <c r="AO39" i="21" a="1"/>
  <c r="AO38" i="21" a="1"/>
  <c r="AO37" i="21" a="1"/>
  <c r="AO36" i="21" a="1"/>
  <c r="AO35" i="21" a="1"/>
  <c r="AO34" i="21" a="1"/>
  <c r="AO33" i="21" a="1"/>
  <c r="AO32" i="21" a="1"/>
  <c r="AO31" i="21" a="1"/>
  <c r="AO30" i="21" a="1"/>
  <c r="AO29" i="21" a="1"/>
  <c r="AO28" i="21" a="1"/>
  <c r="AO27" i="21" a="1"/>
  <c r="AO26" i="21" a="1"/>
  <c r="AO25" i="21" a="1"/>
  <c r="AO24" i="21" a="1"/>
  <c r="AO23" i="21" a="1"/>
  <c r="AO22" i="21" a="1"/>
  <c r="AO21" i="21" a="1"/>
  <c r="AO20" i="21" a="1"/>
  <c r="AO19" i="21" a="1"/>
  <c r="AO18" i="21" a="1"/>
  <c r="AO17" i="21" a="1"/>
  <c r="AO16" i="21" a="1"/>
  <c r="AO15" i="21" a="1"/>
  <c r="AO14" i="21" a="1"/>
  <c r="AF115" i="21"/>
  <c r="AE115" i="21"/>
  <c r="AD115" i="21"/>
  <c r="AC115" i="21"/>
  <c r="AB115" i="21"/>
  <c r="AA115" i="21"/>
  <c r="AA116" i="21" s="1"/>
  <c r="Z115" i="21"/>
  <c r="Y115" i="21"/>
  <c r="X115" i="21"/>
  <c r="W115" i="21"/>
  <c r="V115" i="21"/>
  <c r="U115" i="21"/>
  <c r="U116" i="21" s="1"/>
  <c r="T115" i="21"/>
  <c r="S115" i="21"/>
  <c r="R115" i="21"/>
  <c r="Q115" i="21"/>
  <c r="P115" i="21"/>
  <c r="O115" i="21"/>
  <c r="O116" i="21" s="1"/>
  <c r="N115" i="21"/>
  <c r="M115" i="21"/>
  <c r="L115" i="21"/>
  <c r="K115" i="21"/>
  <c r="J115" i="21"/>
  <c r="I115" i="21"/>
  <c r="I116" i="21" s="1"/>
  <c r="H115" i="21"/>
  <c r="G115" i="21"/>
  <c r="F115" i="21"/>
  <c r="E115" i="21"/>
  <c r="D115" i="21"/>
  <c r="E64" i="21"/>
  <c r="D64" i="21"/>
  <c r="AN84" i="21"/>
  <c r="AN83" i="21"/>
  <c r="AN82" i="21"/>
  <c r="AN81" i="21"/>
  <c r="AN80" i="21"/>
  <c r="AN79" i="21"/>
  <c r="AN78" i="21"/>
  <c r="AN77" i="21"/>
  <c r="AN76" i="21"/>
  <c r="AN75" i="21"/>
  <c r="AN74" i="21"/>
  <c r="AN73" i="21"/>
  <c r="AN72" i="21"/>
  <c r="AN71" i="21"/>
  <c r="AN70" i="21"/>
  <c r="AN69" i="21"/>
  <c r="AN68" i="21"/>
  <c r="AN67" i="21"/>
  <c r="AN66" i="21"/>
  <c r="AN65" i="21"/>
  <c r="AN32" i="21"/>
  <c r="AN31" i="21"/>
  <c r="AN30" i="21"/>
  <c r="AN29" i="21"/>
  <c r="AN28" i="21"/>
  <c r="AN27" i="21"/>
  <c r="AN26" i="21"/>
  <c r="AN25" i="21"/>
  <c r="AN24" i="21"/>
  <c r="AN23" i="21"/>
  <c r="AN22" i="21"/>
  <c r="AN21" i="21"/>
  <c r="AN19" i="21"/>
  <c r="AN18" i="21"/>
  <c r="AN17" i="21"/>
  <c r="AN16" i="21"/>
  <c r="AN15" i="21"/>
  <c r="AN14" i="21"/>
  <c r="AN20"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AS120" i="21"/>
  <c r="AT120" i="21"/>
  <c r="AS124" i="21"/>
  <c r="AT124" i="21"/>
  <c r="AS133" i="21"/>
  <c r="AT133" i="21"/>
  <c r="AS135" i="21"/>
  <c r="AT135" i="21"/>
  <c r="AS137" i="21"/>
  <c r="AT137" i="21"/>
  <c r="AN114" i="21"/>
  <c r="AN113" i="21"/>
  <c r="AN112" i="21"/>
  <c r="AN111" i="21"/>
  <c r="AN110" i="21"/>
  <c r="AN109" i="21"/>
  <c r="AN108" i="21"/>
  <c r="AN107" i="21"/>
  <c r="AN106" i="21"/>
  <c r="AN105" i="21"/>
  <c r="AN104" i="21"/>
  <c r="AN103" i="21"/>
  <c r="AN102" i="21"/>
  <c r="AN101" i="21"/>
  <c r="AN100" i="21"/>
  <c r="AN99" i="21"/>
  <c r="AN98" i="21"/>
  <c r="AN97" i="21"/>
  <c r="AN96" i="21"/>
  <c r="AN95" i="21"/>
  <c r="AN94" i="21"/>
  <c r="AN93" i="21"/>
  <c r="AN92" i="21"/>
  <c r="AN91" i="21"/>
  <c r="AN90" i="21"/>
  <c r="AN89" i="21"/>
  <c r="AN88" i="21"/>
  <c r="AN87" i="21"/>
  <c r="AN86" i="21"/>
  <c r="AN85" i="21"/>
  <c r="AN63" i="21"/>
  <c r="AN62" i="21"/>
  <c r="AN61" i="21"/>
  <c r="AN60" i="21"/>
  <c r="AN59" i="21"/>
  <c r="AN58" i="21"/>
  <c r="AN57" i="21"/>
  <c r="AN56" i="21"/>
  <c r="AN55" i="21"/>
  <c r="AN54" i="21"/>
  <c r="AN43" i="21"/>
  <c r="AN42" i="21"/>
  <c r="AN41" i="21"/>
  <c r="AN40" i="21"/>
  <c r="AN39" i="21"/>
  <c r="AN38" i="21"/>
  <c r="AN37" i="21"/>
  <c r="AN36" i="21"/>
  <c r="AN35" i="21"/>
  <c r="AN34" i="21"/>
  <c r="AN33" i="21"/>
  <c r="AS131" i="21" l="1"/>
  <c r="AT128" i="21"/>
  <c r="AT129" i="21" s="1"/>
  <c r="AS126" i="21"/>
  <c r="AU128" i="21"/>
  <c r="AS128" i="21"/>
  <c r="AS129" i="21" s="1"/>
  <c r="AU137" i="21"/>
  <c r="AU135" i="21"/>
  <c r="AT126" i="21"/>
  <c r="AU133" i="21"/>
  <c r="AF116" i="21"/>
  <c r="AE116" i="21"/>
  <c r="AD116" i="21"/>
  <c r="H116" i="21"/>
  <c r="S116" i="21"/>
  <c r="F116" i="21"/>
  <c r="G116" i="21"/>
  <c r="J116" i="21"/>
  <c r="K116" i="21"/>
  <c r="L116" i="21"/>
  <c r="M116" i="21"/>
  <c r="N116" i="21"/>
  <c r="P116" i="21"/>
  <c r="T116" i="21"/>
  <c r="Q116" i="21"/>
  <c r="R116" i="21"/>
  <c r="V116" i="21"/>
  <c r="Y116" i="21"/>
  <c r="W116" i="21"/>
  <c r="X116" i="21"/>
  <c r="Z116" i="21"/>
  <c r="AB116" i="21"/>
  <c r="AC116" i="21"/>
  <c r="AT131" i="21"/>
  <c r="E116" i="21"/>
  <c r="D116" i="21"/>
  <c r="AU124" i="21"/>
  <c r="AU120" i="21"/>
  <c r="AU129" i="21" l="1"/>
  <c r="AU126" i="21"/>
  <c r="AU131"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<sst xmlns="http://schemas.openxmlformats.org/spreadsheetml/2006/main" count="97" uniqueCount="93">
  <si>
    <t>School ID</t>
  </si>
  <si>
    <t>School Year</t>
  </si>
  <si>
    <t>Grade Level</t>
  </si>
  <si>
    <t>Section</t>
  </si>
  <si>
    <t>School Form 2 (SF2) Daily Attendance Report of Learners</t>
  </si>
  <si>
    <t>(This replaced Form 1, Form 2 &amp; STS Form 4 - Absenteeism and Dropout Profile)</t>
  </si>
  <si>
    <t>Report for the  Month of</t>
  </si>
  <si>
    <t>Name of School</t>
  </si>
  <si>
    <t xml:space="preserve">LEARNER'S NAME                                                                                         (Last Name, First Name, Middle Name)                                  </t>
  </si>
  <si>
    <t>(1st row for date, 2nd row for Day: M,T,W,TH,F)</t>
  </si>
  <si>
    <t xml:space="preserve">Total for the Month             </t>
  </si>
  <si>
    <r>
      <rPr>
        <b/>
        <sz val="12"/>
        <color theme="1"/>
        <rFont val="Arial Narrow"/>
        <family val="2"/>
      </rPr>
      <t>REMARK/S</t>
    </r>
    <r>
      <rPr>
        <sz val="12"/>
        <color theme="1"/>
        <rFont val="Arial Narrow"/>
        <family val="2"/>
      </rPr>
      <t xml:space="preserve"> (If</t>
    </r>
    <r>
      <rPr>
        <b/>
        <sz val="12"/>
        <color theme="1"/>
        <rFont val="Arial Narrow"/>
        <family val="2"/>
      </rPr>
      <t xml:space="preserve"> DROPPED OUT</t>
    </r>
    <r>
      <rPr>
        <sz val="12"/>
        <color theme="1"/>
        <rFont val="Arial Narrow"/>
        <family val="2"/>
      </rPr>
      <t>,</t>
    </r>
    <r>
      <rPr>
        <b/>
        <sz val="12"/>
        <color theme="1"/>
        <rFont val="Arial Narrow"/>
        <family val="2"/>
      </rPr>
      <t xml:space="preserve"> </t>
    </r>
    <r>
      <rPr>
        <sz val="12"/>
        <color theme="1"/>
        <rFont val="Arial Narrow"/>
        <family val="2"/>
      </rPr>
      <t xml:space="preserve">state reason, please refer to legend number 2.
If </t>
    </r>
    <r>
      <rPr>
        <b/>
        <sz val="12"/>
        <color theme="1"/>
        <rFont val="Arial Narrow"/>
        <family val="2"/>
      </rPr>
      <t>TRANSFERRED IN/OUT</t>
    </r>
    <r>
      <rPr>
        <sz val="12"/>
        <color theme="1"/>
        <rFont val="Arial Narrow"/>
        <family val="2"/>
      </rPr>
      <t>, write the name of School.)</t>
    </r>
  </si>
  <si>
    <t>ABSENT</t>
  </si>
  <si>
    <t>MALE  | TOTAL Per Day</t>
  </si>
  <si>
    <t>FEMALE  | TOTAL Per Day</t>
  </si>
  <si>
    <t xml:space="preserve">    Combined TOTAL PER DAY</t>
  </si>
  <si>
    <t>GUIDELINES:</t>
  </si>
  <si>
    <t>1. CODES FOR CHECKING ATTENDANCE</t>
  </si>
  <si>
    <t>Summary for the Month</t>
  </si>
  <si>
    <t>1. The attendance shall be accomplished daily. Refer to the codes for checking learners' attendance.</t>
  </si>
  <si>
    <r>
      <rPr>
        <b/>
        <sz val="11"/>
        <color theme="1"/>
        <rFont val="Arial Narrow"/>
        <family val="2"/>
      </rPr>
      <t xml:space="preserve">blank- </t>
    </r>
    <r>
      <rPr>
        <sz val="11"/>
        <color theme="1"/>
        <rFont val="Arial Narrow"/>
        <family val="2"/>
      </rPr>
      <t>Present;   (x)- Absent; Tardy (half shaded= Upper for Late Commer, Lower for Cutting Classes)</t>
    </r>
  </si>
  <si>
    <t>M</t>
  </si>
  <si>
    <t>F</t>
  </si>
  <si>
    <t>TOTAL</t>
  </si>
  <si>
    <t>2. Dates shall be written in the preceding columns beside Learner's Name.</t>
  </si>
  <si>
    <t>* Enrolment  as of  (1st Friday of June)</t>
  </si>
  <si>
    <t>3. To compute the following:</t>
  </si>
  <si>
    <t>a.</t>
  </si>
  <si>
    <t>Percentage of Enrolment =</t>
  </si>
  <si>
    <t>Registered Learner as of End of the Month</t>
  </si>
  <si>
    <t>x 100</t>
  </si>
  <si>
    <t>2. REASONS/CAUSES OF DROP-OUTS</t>
  </si>
  <si>
    <r>
      <t xml:space="preserve">Late Enrollment </t>
    </r>
    <r>
      <rPr>
        <b/>
        <i/>
        <sz val="12"/>
        <color theme="1"/>
        <rFont val="Arial Narrow"/>
        <family val="2"/>
      </rPr>
      <t xml:space="preserve">during the month </t>
    </r>
    <r>
      <rPr>
        <i/>
        <sz val="12"/>
        <color theme="1"/>
        <rFont val="Arial Narrow"/>
        <family val="2"/>
      </rPr>
      <t xml:space="preserve">                                              (beyond cut-off)</t>
    </r>
  </si>
  <si>
    <t>Enrolment as of 1st Friday of June</t>
  </si>
  <si>
    <t>a. Domestic-Related Factors</t>
  </si>
  <si>
    <t>b.</t>
  </si>
  <si>
    <t xml:space="preserve">Average Daily Attendance = </t>
  </si>
  <si>
    <t>Total Daily Attendance</t>
  </si>
  <si>
    <t>a.1. Had to take care of siblings</t>
  </si>
  <si>
    <r>
      <t xml:space="preserve">Registered Learner as of </t>
    </r>
    <r>
      <rPr>
        <b/>
        <i/>
        <sz val="12"/>
        <color theme="1"/>
        <rFont val="Arial Narrow"/>
        <family val="2"/>
      </rPr>
      <t>end of the month</t>
    </r>
  </si>
  <si>
    <t>Number of School Days in reporting month</t>
  </si>
  <si>
    <t>a.2. Early marriage/pregnancy</t>
  </si>
  <si>
    <t>c.</t>
  </si>
  <si>
    <t>Percentage of Attendance for the month =</t>
  </si>
  <si>
    <t>Average daily attendance</t>
  </si>
  <si>
    <t>a.3. Parents' attitude toward schooling</t>
  </si>
  <si>
    <r>
      <t>Percentage of Enrolment as of</t>
    </r>
    <r>
      <rPr>
        <b/>
        <i/>
        <sz val="12"/>
        <color theme="1"/>
        <rFont val="Arial Narrow"/>
        <family val="2"/>
      </rPr>
      <t xml:space="preserve"> end of the month</t>
    </r>
  </si>
  <si>
    <t>Registered Learner as of End of the month</t>
  </si>
  <si>
    <t>a.4. Family problems</t>
  </si>
  <si>
    <t>b. Individual-Related Factors</t>
  </si>
  <si>
    <t>Average Daily Attendance</t>
  </si>
  <si>
    <t>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</si>
  <si>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</si>
  <si>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</si>
  <si>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</si>
  <si>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</si>
  <si>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</si>
  <si>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</si>
  <si>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</si>
  <si>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</si>
  <si>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</si>
  <si>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Drop out</t>
  </si>
  <si>
    <t>*</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</si>
  <si>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</si>
  <si>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</si>
  <si>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</si>
  <si>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</si>
  <si>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</si>
  <si>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</si>
  <si>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</si>
  <si>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</si>
  <si>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</si>
  <si>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</si>
  <si>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</si>
  <si>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</si>
  <si>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Teacher over Printed Name)</t>
  </si>
  <si>
    <t>d.3. Calamities/Disasters</t>
  </si>
  <si>
    <t>e. Financial-Related</t>
  </si>
  <si>
    <t>Attested by:</t>
  </si>
  <si>
    <t>School Form 2: Page 2 of ________</t>
  </si>
  <si>
    <t>e.1. Child labor, work</t>
  </si>
  <si>
    <t>f. Others</t>
  </si>
  <si>
    <t xml:space="preserve"> (Signature of School Head over Printed Name)</t>
  </si>
  <si>
    <t>Month: JULY</t>
  </si>
  <si>
    <t>Beginning of School Year cut-off report is every 1st Friday of School Calendar Days</t>
  </si>
  <si>
    <t xml:space="preserve">                          (Signature of Teacher over Printed Name)</t>
  </si>
  <si>
    <t>2026-2027</t>
  </si>
  <si>
    <t>SAN ANTONIO NATIONAL HIGH SCHOOL</t>
  </si>
  <si>
    <t>NEWTON</t>
  </si>
  <si>
    <t/>
  </si>
  <si>
    <t>PRESENT</t>
  </si>
  <si>
    <t>JULY 2026</t>
  </si>
  <si>
    <t>No. of Days of Classes: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</si>
</sst>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
    <numFmt numFmtId="166" formatCode="0.0"/>
  </numFmts>
  <fonts count="20" x14ac:knownFonts="1">
    <font>
      <sz val="11"/>
      <color theme="1"/>
      <name val="Calibri"/>
      <family val="2"/>
      <scheme val="minor"/>
    </font>
    <font>
      <sz val="11"/>
      <color theme="1"/>
      <name val="Calibri"/>
      <family val="2"/>
      <scheme val="minor"/>
    </font>
    <font>
      <sz val="10"/>
      <color theme="1"/>
      <name val="Arial"/>
      <family val="2"/>
    </font>
    <font>
      <b/>
      <sz val="22"/>
      <color theme="1"/>
      <name val="Arial Narrow"/>
      <family val="2"/>
    </font>
    <font>
      <b/>
      <sz val="16"/>
      <color theme="1"/>
      <name val="Arial Narrow"/>
      <family val="2"/>
    </font>
    <font>
      <b/>
      <sz val="11"/>
      <color theme="1"/>
      <name val="Arial Narrow"/>
      <family val="2"/>
    </font>
    <font>
      <sz val="11"/>
      <color theme="1"/>
      <name val="Arial Narrow"/>
      <family val="2"/>
    </font>
    <font>
      <sz val="12"/>
      <color theme="1"/>
      <name val="Arial Narrow"/>
      <family val="2"/>
    </font>
    <font>
      <b/>
      <sz val="12"/>
      <color theme="1"/>
      <name val="Arial Narrow"/>
      <family val="2"/>
    </font>
    <font>
      <i/>
      <sz val="11"/>
      <color theme="1"/>
      <name val="Arial Narrow"/>
      <family val="2"/>
    </font>
    <font>
      <sz val="10"/>
      <color theme="1"/>
      <name val="Arial Narrow"/>
      <family val="2"/>
    </font>
    <font>
      <b/>
      <sz val="14"/>
      <color theme="1"/>
      <name val="Arial Narrow"/>
      <family val="2"/>
    </font>
    <font>
      <sz val="16"/>
      <color theme="1"/>
      <name val="Arial Narrow"/>
      <family val="2"/>
    </font>
    <font>
      <b/>
      <sz val="10"/>
      <color theme="1"/>
      <name val="Arial Narrow"/>
      <family val="2"/>
    </font>
    <font>
      <i/>
      <sz val="12"/>
      <color theme="1"/>
      <name val="Arial Narrow"/>
      <family val="2"/>
    </font>
    <font>
      <b/>
      <sz val="18"/>
      <color theme="1"/>
      <name val="Arial Narrow"/>
      <family val="2"/>
    </font>
    <font>
      <b/>
      <i/>
      <sz val="11"/>
      <color theme="1"/>
      <name val="Arial Narrow"/>
      <family val="2"/>
    </font>
    <font>
      <b/>
      <i/>
      <sz val="12"/>
      <color theme="1"/>
      <name val="Arial Narrow"/>
      <family val="2"/>
    </font>
    <font>
      <sz val="14"/>
      <name val="Arial Narrow"/>
      <family val="2"/>
    </font>
    <font>
      <sz val="12"/>
      <color rgb="FF000000"/>
      <name val="Arial Narrow"/>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8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bottom/>
      <diagonal/>
    </border>
    <border>
      <left style="thin">
        <color auto="1"/>
      </left>
      <right style="medium">
        <color auto="1"/>
      </right>
      <top/>
      <bottom/>
      <diagonal/>
    </border>
    <border>
      <left/>
      <right/>
      <top style="medium">
        <color auto="1"/>
      </top>
      <bottom style="medium">
        <color auto="1"/>
      </bottom>
      <diagonal/>
    </border>
    <border>
      <left style="medium">
        <color auto="1"/>
      </left>
      <right style="medium">
        <color auto="1"/>
      </right>
      <top/>
      <bottom style="medium">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medium">
        <color indexed="64"/>
      </left>
      <right style="medium">
        <color indexed="64"/>
      </right>
      <top style="medium">
        <color indexed="64"/>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style="medium">
        <color auto="1"/>
      </right>
      <top/>
      <bottom style="medium">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bottom/>
      <diagonal/>
    </border>
    <border>
      <left/>
      <right/>
      <top style="thin">
        <color auto="1"/>
      </top>
      <bottom/>
      <diagonal/>
    </border>
    <border>
      <left/>
      <right style="thin">
        <color auto="1"/>
      </right>
      <top/>
      <bottom style="medium">
        <color auto="1"/>
      </bottom>
      <diagonal/>
    </border>
    <border>
      <left style="thin">
        <color auto="1"/>
      </left>
      <right style="thin">
        <color auto="1"/>
      </right>
      <top style="thin">
        <color auto="1"/>
      </top>
      <bottom style="medium">
        <color auto="1"/>
      </bottom>
      <diagonal/>
    </border>
    <border>
      <left/>
      <right/>
      <top style="thin">
        <color indexed="64"/>
      </top>
      <bottom style="thin">
        <color indexed="64"/>
      </bottom>
      <diagonal/>
    </border>
    <border>
      <left style="thin">
        <color auto="1"/>
      </left>
      <right style="medium">
        <color indexed="64"/>
      </right>
      <top style="thin">
        <color auto="1"/>
      </top>
      <bottom style="thin">
        <color auto="1"/>
      </bottom>
      <diagonal/>
    </border>
    <border>
      <left style="thin">
        <color auto="1"/>
      </left>
      <right style="thin">
        <color auto="1"/>
      </right>
      <top style="medium">
        <color indexed="64"/>
      </top>
      <bottom style="medium">
        <color indexed="64"/>
      </bottom>
      <diagonal/>
    </border>
    <border>
      <left style="thin">
        <color auto="1"/>
      </left>
      <right style="medium">
        <color indexed="64"/>
      </right>
      <top style="thin">
        <color auto="1"/>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right style="thin">
        <color auto="1"/>
      </right>
      <top style="thin">
        <color auto="1"/>
      </top>
      <bottom style="medium">
        <color auto="1"/>
      </bottom>
      <diagonal/>
    </border>
    <border>
      <left/>
      <right style="thin">
        <color indexed="64"/>
      </right>
      <top/>
      <bottom/>
      <diagonal/>
    </border>
    <border>
      <left/>
      <right/>
      <top style="medium">
        <color auto="1"/>
      </top>
      <bottom style="thin">
        <color auto="1"/>
      </bottom>
      <diagonal/>
    </border>
    <border>
      <left/>
      <right style="medium">
        <color auto="1"/>
      </right>
      <top/>
      <bottom style="thin">
        <color auto="1"/>
      </bottom>
      <diagonal/>
    </border>
    <border>
      <left style="medium">
        <color auto="1"/>
      </left>
      <right/>
      <top/>
      <bottom style="thin">
        <color auto="1"/>
      </bottom>
      <diagonal/>
    </border>
    <border>
      <left style="medium">
        <color auto="1"/>
      </left>
      <right/>
      <top style="double">
        <color indexed="64"/>
      </top>
      <bottom style="medium">
        <color auto="1"/>
      </bottom>
      <diagonal/>
    </border>
    <border>
      <left/>
      <right style="thin">
        <color indexed="64"/>
      </right>
      <top style="medium">
        <color auto="1"/>
      </top>
      <bottom/>
      <diagonal/>
    </border>
    <border diagonalUp="1">
      <left style="medium">
        <color auto="1"/>
      </left>
      <right style="thin">
        <color auto="1"/>
      </right>
      <top style="medium">
        <color indexed="64"/>
      </top>
      <bottom style="thin">
        <color auto="1"/>
      </bottom>
      <diagonal style="dotted">
        <color theme="0" tint="-0.34998626667073579"/>
      </diagonal>
    </border>
    <border diagonalUp="1">
      <left style="thin">
        <color indexed="64"/>
      </left>
      <right style="thin">
        <color indexed="64"/>
      </right>
      <top style="medium">
        <color indexed="64"/>
      </top>
      <bottom style="thin">
        <color indexed="64"/>
      </bottom>
      <diagonal style="dotted">
        <color theme="0" tint="-0.34998626667073579"/>
      </diagonal>
    </border>
    <border diagonalUp="1">
      <left style="thin">
        <color indexed="64"/>
      </left>
      <right style="medium">
        <color indexed="64"/>
      </right>
      <top style="medium">
        <color indexed="64"/>
      </top>
      <bottom style="thin">
        <color indexed="64"/>
      </bottom>
      <diagonal style="dotted">
        <color theme="0" tint="-0.34998626667073579"/>
      </diagonal>
    </border>
    <border diagonalUp="1">
      <left/>
      <right/>
      <top style="medium">
        <color indexed="64"/>
      </top>
      <bottom style="thin">
        <color auto="1"/>
      </bottom>
      <diagonal style="dotted">
        <color theme="0" tint="-0.34998626667073579"/>
      </diagonal>
    </border>
    <border diagonalUp="1">
      <left style="medium">
        <color auto="1"/>
      </left>
      <right style="thin">
        <color auto="1"/>
      </right>
      <top style="thin">
        <color auto="1"/>
      </top>
      <bottom style="thin">
        <color auto="1"/>
      </bottom>
      <diagonal style="dotted">
        <color theme="0" tint="-0.34998626667073579"/>
      </diagonal>
    </border>
    <border diagonalUp="1">
      <left style="thin">
        <color indexed="64"/>
      </left>
      <right style="thin">
        <color indexed="64"/>
      </right>
      <top style="thin">
        <color indexed="64"/>
      </top>
      <bottom style="thin">
        <color indexed="64"/>
      </bottom>
      <diagonal style="dotted">
        <color theme="0" tint="-0.34998626667073579"/>
      </diagonal>
    </border>
    <border diagonalUp="1">
      <left style="thin">
        <color auto="1"/>
      </left>
      <right style="medium">
        <color indexed="64"/>
      </right>
      <top style="thin">
        <color auto="1"/>
      </top>
      <bottom style="thin">
        <color auto="1"/>
      </bottom>
      <diagonal style="dotted">
        <color theme="0" tint="-0.34998626667073579"/>
      </diagonal>
    </border>
    <border diagonalUp="1">
      <left/>
      <right/>
      <top/>
      <bottom style="thin">
        <color auto="1"/>
      </bottom>
      <diagonal style="dotted">
        <color theme="0" tint="-0.34998626667073579"/>
      </diagonal>
    </border>
    <border diagonalUp="1">
      <left style="medium">
        <color auto="1"/>
      </left>
      <right style="thin">
        <color auto="1"/>
      </right>
      <top/>
      <bottom style="thin">
        <color auto="1"/>
      </bottom>
      <diagonal style="dotted">
        <color theme="0" tint="-0.34998626667073579"/>
      </diagonal>
    </border>
    <border diagonalUp="1">
      <left style="thin">
        <color indexed="64"/>
      </left>
      <right style="thin">
        <color indexed="64"/>
      </right>
      <top/>
      <bottom style="thin">
        <color indexed="64"/>
      </bottom>
      <diagonal style="dotted">
        <color theme="0" tint="-0.34998626667073579"/>
      </diagonal>
    </border>
    <border diagonalUp="1">
      <left style="thin">
        <color auto="1"/>
      </left>
      <right style="medium">
        <color indexed="64"/>
      </right>
      <top/>
      <bottom style="thin">
        <color auto="1"/>
      </bottom>
      <diagonal style="dotted">
        <color theme="0" tint="-0.34998626667073579"/>
      </diagonal>
    </border>
    <border diagonalUp="1">
      <left/>
      <right/>
      <top style="thin">
        <color auto="1"/>
      </top>
      <bottom style="thin">
        <color indexed="64"/>
      </bottom>
      <diagonal style="dotted">
        <color theme="0" tint="-0.34998626667073579"/>
      </diagonal>
    </border>
    <border>
      <left/>
      <right style="medium">
        <color auto="1"/>
      </right>
      <top style="double">
        <color indexed="64"/>
      </top>
      <bottom style="medium">
        <color auto="1"/>
      </bottom>
      <diagonal/>
    </border>
    <border>
      <left style="thin">
        <color auto="1"/>
      </left>
      <right/>
      <top/>
      <bottom style="medium">
        <color auto="1"/>
      </bottom>
      <diagonal/>
    </border>
    <border>
      <left style="medium">
        <color indexed="64"/>
      </left>
      <right style="thin">
        <color auto="1"/>
      </right>
      <top/>
      <bottom/>
      <diagonal/>
    </border>
    <border>
      <left style="thin">
        <color indexed="64"/>
      </left>
      <right/>
      <top style="thin">
        <color indexed="64"/>
      </top>
      <bottom/>
      <diagonal/>
    </border>
    <border diagonalUp="1">
      <left style="medium">
        <color auto="1"/>
      </left>
      <right style="thin">
        <color auto="1"/>
      </right>
      <top style="thin">
        <color auto="1"/>
      </top>
      <bottom/>
      <diagonal style="dotted">
        <color theme="0" tint="-0.34998626667073579"/>
      </diagonal>
    </border>
    <border diagonalUp="1">
      <left style="thin">
        <color auto="1"/>
      </left>
      <right style="thin">
        <color auto="1"/>
      </right>
      <top style="thin">
        <color auto="1"/>
      </top>
      <bottom/>
      <diagonal style="dotted">
        <color theme="0" tint="-0.34998626667073579"/>
      </diagonal>
    </border>
    <border diagonalUp="1">
      <left style="thin">
        <color auto="1"/>
      </left>
      <right style="medium">
        <color indexed="64"/>
      </right>
      <top style="thin">
        <color auto="1"/>
      </top>
      <bottom/>
      <diagonal style="dotted">
        <color theme="0" tint="-0.34998626667073579"/>
      </diagonal>
    </border>
    <border diagonalUp="1">
      <left/>
      <right/>
      <top/>
      <bottom/>
      <diagonal style="dotted">
        <color theme="0" tint="-0.34998626667073579"/>
      </diagonal>
    </border>
    <border>
      <left style="thin">
        <color auto="1"/>
      </left>
      <right style="thin">
        <color auto="1"/>
      </right>
      <top style="double">
        <color auto="1"/>
      </top>
      <bottom style="medium">
        <color auto="1"/>
      </bottom>
      <diagonal/>
    </border>
    <border>
      <left/>
      <right/>
      <top style="double">
        <color auto="1"/>
      </top>
      <bottom style="medium">
        <color auto="1"/>
      </bottom>
      <diagonal/>
    </border>
    <border>
      <left/>
      <right/>
      <top style="double">
        <color auto="1"/>
      </top>
      <bottom style="thin">
        <color auto="1"/>
      </bottom>
      <diagonal/>
    </border>
    <border>
      <left style="medium">
        <color indexed="64"/>
      </left>
      <right style="medium">
        <color indexed="64"/>
      </right>
      <top style="double">
        <color auto="1"/>
      </top>
      <bottom style="medium">
        <color indexed="64"/>
      </bottom>
      <diagonal/>
    </border>
    <border>
      <left style="medium">
        <color indexed="64"/>
      </left>
      <right style="thin">
        <color auto="1"/>
      </right>
      <top style="double">
        <color indexed="64"/>
      </top>
      <bottom style="medium">
        <color indexed="64"/>
      </bottom>
      <diagonal/>
    </border>
    <border>
      <left style="thin">
        <color auto="1"/>
      </left>
      <right style="medium">
        <color indexed="64"/>
      </right>
      <top style="double">
        <color indexed="64"/>
      </top>
      <bottom style="medium">
        <color indexed="64"/>
      </bottom>
      <diagonal/>
    </border>
    <border>
      <left/>
      <right style="medium">
        <color auto="1"/>
      </right>
      <top style="double">
        <color auto="1"/>
      </top>
      <bottom style="thin">
        <color auto="1"/>
      </bottom>
      <diagonal/>
    </border>
    <border>
      <left style="thin">
        <color indexed="64"/>
      </left>
      <right style="thin">
        <color indexed="64"/>
      </right>
      <top style="medium">
        <color auto="1"/>
      </top>
      <bottom/>
      <diagonal/>
    </border>
    <border>
      <left/>
      <right style="thin">
        <color indexed="64"/>
      </right>
      <top style="thin">
        <color auto="1"/>
      </top>
      <bottom/>
      <diagonal/>
    </border>
    <border diagonalUp="1">
      <left/>
      <right/>
      <top style="thin">
        <color auto="1"/>
      </top>
      <bottom/>
      <diagonal style="dotted">
        <color theme="0" tint="-0.34998626667073579"/>
      </diagonal>
    </border>
  </borders>
  <cellStyleXfs count="3">
    <xf numFmtId="0" fontId="0" fillId="0" borderId="0"/>
    <xf numFmtId="0" fontId="1" fillId="0" borderId="0"/>
    <xf numFmtId="0" fontId="2" fillId="0" borderId="0"/>
  </cellStyleXfs>
  <cellXfs count="286">
    <xf numFmtId="0" fontId="0" fillId="0" borderId="0" xfId="0"/>
    <xf numFmtId="0" fontId="5" fillId="0" borderId="11" xfId="0" applyFont="1" applyBorder="1" applyAlignment="1">
      <alignment vertical="center" textRotation="90"/>
    </xf>
    <xf numFmtId="0" fontId="5" fillId="0" borderId="12" xfId="0" applyFont="1" applyBorder="1" applyAlignment="1">
      <alignment vertical="center" textRotation="90"/>
    </xf>
    <xf numFmtId="0" fontId="6" fillId="0" borderId="26" xfId="0" applyFont="1" applyBorder="1" applyAlignment="1">
      <alignment vertical="center"/>
    </xf>
    <xf numFmtId="0" fontId="9" fillId="0" borderId="0" xfId="0" applyFont="1"/>
    <xf numFmtId="0" fontId="5" fillId="0" borderId="0" xfId="0" applyFont="1" applyAlignment="1">
      <alignment vertical="center"/>
    </xf>
    <xf numFmtId="0" fontId="11" fillId="0" borderId="0" xfId="0" applyFont="1"/>
    <xf numFmtId="0" fontId="5" fillId="0" borderId="0" xfId="0" applyFont="1"/>
    <xf numFmtId="0" fontId="6" fillId="0" borderId="0" xfId="0" applyFont="1" applyAlignment="1">
      <alignment vertical="center"/>
    </xf>
    <xf numFmtId="0" fontId="15" fillId="0" borderId="0" xfId="0" applyFont="1" applyAlignment="1">
      <alignment horizontal="center" vertical="center"/>
    </xf>
    <xf numFmtId="0" fontId="4" fillId="0" borderId="0" xfId="0" applyFont="1" applyAlignment="1">
      <alignment vertical="center"/>
    </xf>
    <xf numFmtId="0" fontId="16" fillId="0" borderId="0" xfId="0" applyFont="1" applyAlignment="1">
      <alignment horizontal="left" vertical="center"/>
    </xf>
    <xf numFmtId="0" fontId="8" fillId="0" borderId="0" xfId="0" applyFont="1" applyAlignment="1">
      <alignment vertical="center"/>
    </xf>
    <xf numFmtId="0" fontId="14" fillId="0" borderId="0" xfId="0" applyFont="1" applyAlignment="1">
      <alignment vertical="center"/>
    </xf>
    <xf numFmtId="0" fontId="7" fillId="0" borderId="0" xfId="0" applyFont="1" applyAlignment="1">
      <alignment vertical="center"/>
    </xf>
    <xf numFmtId="0" fontId="5" fillId="0" borderId="0" xfId="0" applyFont="1" applyAlignment="1">
      <alignment vertical="center" wrapText="1"/>
    </xf>
    <xf numFmtId="0" fontId="5" fillId="0" borderId="8" xfId="0" applyFont="1" applyBorder="1" applyAlignment="1">
      <alignment vertical="center"/>
    </xf>
    <xf numFmtId="0" fontId="6" fillId="0" borderId="15" xfId="0" applyFont="1" applyBorder="1"/>
    <xf numFmtId="0" fontId="6" fillId="0" borderId="15" xfId="0" applyFont="1" applyBorder="1" applyAlignment="1">
      <alignment vertical="center"/>
    </xf>
    <xf numFmtId="0" fontId="5" fillId="0" borderId="15" xfId="0" applyFont="1" applyBorder="1" applyAlignment="1">
      <alignment vertical="center"/>
    </xf>
    <xf numFmtId="0" fontId="5" fillId="0" borderId="9" xfId="0" applyFont="1" applyBorder="1" applyAlignment="1">
      <alignment vertical="center" wrapText="1"/>
    </xf>
    <xf numFmtId="0" fontId="5" fillId="0" borderId="29" xfId="0" applyFont="1" applyBorder="1" applyAlignment="1">
      <alignment vertical="center" wrapText="1"/>
    </xf>
    <xf numFmtId="0" fontId="6" fillId="0" borderId="30" xfId="0" applyFont="1" applyBorder="1" applyAlignment="1">
      <alignment vertical="center"/>
    </xf>
    <xf numFmtId="0" fontId="5" fillId="0" borderId="45" xfId="0" applyFont="1" applyBorder="1" applyAlignment="1">
      <alignment horizontal="center" vertical="center"/>
    </xf>
    <xf numFmtId="0" fontId="5" fillId="0" borderId="36" xfId="0" applyFont="1" applyBorder="1" applyAlignment="1">
      <alignment horizontal="center" vertical="center"/>
    </xf>
    <xf numFmtId="0" fontId="5" fillId="0" borderId="40" xfId="0" applyFont="1" applyBorder="1" applyAlignment="1">
      <alignment horizontal="center" vertical="center"/>
    </xf>
    <xf numFmtId="0" fontId="14" fillId="0" borderId="0" xfId="0" applyFont="1" applyAlignment="1">
      <alignment horizontal="center" vertical="center"/>
    </xf>
    <xf numFmtId="0" fontId="5" fillId="0" borderId="28" xfId="0" applyFont="1" applyBorder="1" applyAlignment="1">
      <alignment vertical="center"/>
    </xf>
    <xf numFmtId="0" fontId="14" fillId="0" borderId="0" xfId="0" applyFont="1" applyAlignment="1">
      <alignment horizontal="center" vertical="center" wrapText="1"/>
    </xf>
    <xf numFmtId="0" fontId="7" fillId="0" borderId="0" xfId="0" applyFont="1" applyAlignment="1">
      <alignment vertical="center" wrapText="1"/>
    </xf>
    <xf numFmtId="0" fontId="6" fillId="0" borderId="28" xfId="0" applyFont="1" applyBorder="1" applyAlignment="1">
      <alignment horizontal="left" vertical="center"/>
    </xf>
    <xf numFmtId="0" fontId="7" fillId="0" borderId="0" xfId="0" applyFont="1" applyAlignment="1">
      <alignment horizontal="center" vertical="center"/>
    </xf>
    <xf numFmtId="0" fontId="7" fillId="0" borderId="0" xfId="0" applyFont="1" applyAlignment="1">
      <alignment horizontal="left" vertical="top" wrapText="1"/>
    </xf>
    <xf numFmtId="0" fontId="7" fillId="0" borderId="0" xfId="0" applyFont="1" applyAlignment="1">
      <alignment vertical="top" wrapText="1"/>
    </xf>
    <xf numFmtId="0" fontId="6" fillId="0" borderId="0" xfId="0" applyFont="1" applyAlignment="1">
      <alignment vertical="center" wrapText="1"/>
    </xf>
    <xf numFmtId="0" fontId="7" fillId="0" borderId="0" xfId="0" applyFont="1" applyAlignment="1">
      <alignment horizontal="right" vertical="center"/>
    </xf>
    <xf numFmtId="0" fontId="9" fillId="0" borderId="0" xfId="0" applyFont="1" applyAlignment="1">
      <alignment horizontal="center" vertical="center"/>
    </xf>
    <xf numFmtId="0" fontId="6" fillId="0" borderId="0" xfId="0" applyFont="1" applyAlignment="1">
      <alignment horizontal="left" vertical="center" wrapText="1"/>
    </xf>
    <xf numFmtId="0" fontId="9" fillId="0" borderId="0" xfId="0" applyFont="1" applyAlignment="1">
      <alignment vertical="center"/>
    </xf>
    <xf numFmtId="0" fontId="16" fillId="0" borderId="0" xfId="0" applyFont="1" applyAlignment="1">
      <alignment horizontal="center" vertical="center"/>
    </xf>
    <xf numFmtId="0" fontId="6" fillId="0" borderId="0" xfId="0" applyFont="1" applyAlignment="1">
      <alignment horizontal="left" vertical="center" indent="3"/>
    </xf>
    <xf numFmtId="0" fontId="9" fillId="0" borderId="0" xfId="0" applyFont="1" applyAlignment="1">
      <alignment horizontal="left" vertical="center"/>
    </xf>
    <xf numFmtId="0" fontId="6" fillId="0" borderId="29" xfId="0" applyFont="1" applyBorder="1" applyAlignment="1">
      <alignment vertical="center"/>
    </xf>
    <xf numFmtId="0" fontId="5" fillId="0" borderId="25" xfId="0" applyFont="1" applyBorder="1" applyAlignment="1">
      <alignment vertical="center"/>
    </xf>
    <xf numFmtId="0" fontId="12" fillId="0" borderId="0" xfId="0" applyFont="1" applyAlignment="1">
      <alignment horizontal="right" vertical="center"/>
    </xf>
    <xf numFmtId="0" fontId="12" fillId="0" borderId="0" xfId="0" applyFont="1" applyAlignment="1">
      <alignment vertical="center"/>
    </xf>
    <xf numFmtId="0" fontId="12" fillId="0" borderId="0" xfId="0" applyFont="1" applyAlignment="1">
      <alignment horizontal="center" vertical="center"/>
    </xf>
    <xf numFmtId="0" fontId="5" fillId="0" borderId="25" xfId="0" applyFont="1" applyBorder="1" applyAlignment="1">
      <alignment vertical="center" textRotation="90"/>
    </xf>
    <xf numFmtId="0" fontId="7" fillId="0" borderId="0" xfId="0" applyFont="1" applyAlignment="1">
      <alignment horizontal="center" vertical="center" wrapText="1"/>
    </xf>
    <xf numFmtId="0" fontId="6" fillId="0" borderId="0" xfId="0" applyFont="1" applyAlignment="1">
      <alignment horizontal="center" vertical="center"/>
    </xf>
    <xf numFmtId="0" fontId="6" fillId="2" borderId="0" xfId="0" applyFont="1" applyFill="1" applyAlignment="1">
      <alignment vertical="center"/>
    </xf>
    <xf numFmtId="0" fontId="8" fillId="0" borderId="31" xfId="0" applyFont="1" applyBorder="1" applyAlignment="1" applyProtection="1">
      <alignment horizontal="center"/>
      <protection locked="0"/>
    </xf>
    <xf numFmtId="0" fontId="8" fillId="0" borderId="39" xfId="0" applyFont="1" applyBorder="1" applyAlignment="1" applyProtection="1">
      <alignment horizontal="center"/>
      <protection locked="0"/>
    </xf>
    <xf numFmtId="0" fontId="8" fillId="0" borderId="32" xfId="0" applyFont="1" applyBorder="1" applyAlignment="1" applyProtection="1">
      <alignment horizontal="center"/>
      <protection locked="0"/>
    </xf>
    <xf numFmtId="0" fontId="8" fillId="0" borderId="41" xfId="0" applyFont="1" applyBorder="1" applyAlignment="1" applyProtection="1">
      <alignment horizontal="center"/>
      <protection locked="0"/>
    </xf>
    <xf numFmtId="0" fontId="13" fillId="0" borderId="28" xfId="0" applyFont="1" applyBorder="1" applyAlignment="1" applyProtection="1">
      <alignment horizontal="center" textRotation="90"/>
      <protection locked="0"/>
    </xf>
    <xf numFmtId="0" fontId="13" fillId="0" borderId="13" xfId="0" applyFont="1" applyBorder="1" applyAlignment="1" applyProtection="1">
      <alignment horizontal="center" textRotation="90"/>
      <protection locked="0"/>
    </xf>
    <xf numFmtId="0" fontId="13" fillId="0" borderId="14" xfId="0" applyFont="1" applyBorder="1" applyAlignment="1" applyProtection="1">
      <alignment horizontal="center" textRotation="90"/>
      <protection locked="0"/>
    </xf>
    <xf numFmtId="0" fontId="8" fillId="0" borderId="25" xfId="0" applyFont="1" applyBorder="1" applyAlignment="1" applyProtection="1">
      <alignment horizontal="center" vertical="center"/>
      <protection hidden="1"/>
    </xf>
    <xf numFmtId="0" fontId="8" fillId="0" borderId="11" xfId="0" applyFont="1" applyBorder="1" applyAlignment="1" applyProtection="1">
      <alignment horizontal="center" vertical="center"/>
      <protection hidden="1"/>
    </xf>
    <xf numFmtId="0" fontId="8" fillId="0" borderId="26" xfId="0" applyFont="1" applyBorder="1" applyAlignment="1" applyProtection="1">
      <alignment horizontal="center" vertical="center"/>
      <protection hidden="1"/>
    </xf>
    <xf numFmtId="0" fontId="8" fillId="0" borderId="35" xfId="0" applyFont="1" applyBorder="1" applyAlignment="1" applyProtection="1">
      <alignment horizontal="center" vertical="center"/>
      <protection hidden="1"/>
    </xf>
    <xf numFmtId="0" fontId="8" fillId="3" borderId="26" xfId="0" applyFont="1" applyFill="1" applyBorder="1" applyAlignment="1" applyProtection="1">
      <alignment horizontal="center" vertical="center"/>
      <protection hidden="1"/>
    </xf>
    <xf numFmtId="0" fontId="8" fillId="0" borderId="30" xfId="0" applyFont="1" applyBorder="1" applyAlignment="1" applyProtection="1">
      <alignment horizontal="center" vertical="center"/>
      <protection hidden="1"/>
    </xf>
    <xf numFmtId="0" fontId="19" fillId="0" borderId="52" xfId="1" applyFont="1" applyBorder="1" applyAlignment="1" applyProtection="1">
      <alignment horizontal="center" vertical="center" wrapText="1"/>
      <protection locked="0"/>
    </xf>
    <xf numFmtId="0" fontId="19" fillId="0" borderId="53" xfId="1" applyFont="1" applyBorder="1" applyAlignment="1" applyProtection="1">
      <alignment horizontal="center" vertical="center" wrapText="1"/>
      <protection locked="0"/>
    </xf>
    <xf numFmtId="0" fontId="7" fillId="0" borderId="53" xfId="0" applyFont="1" applyBorder="1" applyAlignment="1" applyProtection="1">
      <alignment horizontal="center" vertical="center"/>
      <protection locked="0"/>
    </xf>
    <xf numFmtId="0" fontId="7" fillId="0" borderId="54" xfId="0" applyFont="1" applyBorder="1" applyAlignment="1" applyProtection="1">
      <alignment horizontal="center" vertical="center"/>
      <protection locked="0"/>
    </xf>
    <xf numFmtId="0" fontId="7" fillId="0" borderId="52" xfId="0" applyFont="1" applyBorder="1" applyAlignment="1" applyProtection="1">
      <alignment horizontal="center" vertical="center"/>
      <protection locked="0"/>
    </xf>
    <xf numFmtId="0" fontId="19" fillId="0" borderId="56" xfId="1" applyFont="1" applyBorder="1" applyAlignment="1" applyProtection="1">
      <alignment horizontal="center" vertical="center" wrapText="1"/>
      <protection locked="0"/>
    </xf>
    <xf numFmtId="0" fontId="19" fillId="0" borderId="57" xfId="1" applyFont="1" applyBorder="1" applyAlignment="1" applyProtection="1">
      <alignment horizontal="center" vertical="center" wrapText="1"/>
      <protection locked="0"/>
    </xf>
    <xf numFmtId="0" fontId="7" fillId="0" borderId="57" xfId="0" applyFont="1" applyBorder="1" applyAlignment="1" applyProtection="1">
      <alignment horizontal="center" vertical="center"/>
      <protection locked="0"/>
    </xf>
    <xf numFmtId="0" fontId="7" fillId="0" borderId="58" xfId="0" applyFont="1" applyBorder="1" applyAlignment="1" applyProtection="1">
      <alignment horizontal="center" vertical="center"/>
      <protection locked="0"/>
    </xf>
    <xf numFmtId="0" fontId="7" fillId="0" borderId="56" xfId="0" applyFont="1" applyBorder="1" applyAlignment="1" applyProtection="1">
      <alignment horizontal="center" vertical="center"/>
      <protection locked="0"/>
    </xf>
    <xf numFmtId="0" fontId="19" fillId="0" borderId="60" xfId="1" applyFont="1" applyBorder="1" applyAlignment="1" applyProtection="1">
      <alignment horizontal="center" vertical="center" wrapText="1"/>
      <protection locked="0"/>
    </xf>
    <xf numFmtId="0" fontId="19" fillId="0" borderId="61" xfId="1" applyFont="1" applyBorder="1" applyAlignment="1" applyProtection="1">
      <alignment horizontal="center" vertical="center" wrapText="1"/>
      <protection locked="0"/>
    </xf>
    <xf numFmtId="0" fontId="7" fillId="0" borderId="61" xfId="0" applyFont="1" applyBorder="1" applyAlignment="1" applyProtection="1">
      <alignment horizontal="center" vertical="center"/>
      <protection locked="0"/>
    </xf>
    <xf numFmtId="0" fontId="7" fillId="0" borderId="62" xfId="0" applyFont="1" applyBorder="1" applyAlignment="1" applyProtection="1">
      <alignment horizontal="center" vertical="center"/>
      <protection locked="0"/>
    </xf>
    <xf numFmtId="0" fontId="7" fillId="0" borderId="60"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0" fontId="7" fillId="0" borderId="6" xfId="0" applyFont="1" applyBorder="1" applyAlignment="1" applyProtection="1">
      <alignment horizontal="center" vertical="center"/>
      <protection hidden="1"/>
    </xf>
    <xf numFmtId="0" fontId="7" fillId="0" borderId="29" xfId="0" applyFont="1" applyBorder="1" applyAlignment="1" applyProtection="1">
      <alignment horizontal="center" vertical="center"/>
      <protection hidden="1"/>
    </xf>
    <xf numFmtId="0" fontId="7" fillId="0" borderId="0" xfId="0" applyFont="1" applyAlignment="1" applyProtection="1">
      <alignment horizontal="center" vertical="center"/>
      <protection hidden="1"/>
    </xf>
    <xf numFmtId="0" fontId="5" fillId="0" borderId="65" xfId="0" applyFont="1" applyBorder="1" applyAlignment="1">
      <alignment vertical="center" textRotation="90"/>
    </xf>
    <xf numFmtId="0" fontId="5" fillId="0" borderId="10" xfId="0" applyFont="1" applyBorder="1" applyAlignment="1">
      <alignment vertical="center" textRotation="90"/>
    </xf>
    <xf numFmtId="1" fontId="8" fillId="0" borderId="10" xfId="0" applyNumberFormat="1" applyFont="1" applyBorder="1" applyAlignment="1" applyProtection="1">
      <alignment horizontal="center" vertical="center"/>
      <protection hidden="1"/>
    </xf>
    <xf numFmtId="0" fontId="8" fillId="0" borderId="50" xfId="0" applyFont="1" applyBorder="1" applyAlignment="1" applyProtection="1">
      <alignment horizontal="center" vertical="center"/>
      <protection hidden="1"/>
    </xf>
    <xf numFmtId="0" fontId="19" fillId="0" borderId="68" xfId="1" applyFont="1" applyBorder="1" applyAlignment="1" applyProtection="1">
      <alignment horizontal="center" vertical="center" wrapText="1"/>
      <protection locked="0"/>
    </xf>
    <xf numFmtId="0" fontId="19" fillId="0" borderId="69" xfId="1" applyFont="1" applyBorder="1" applyAlignment="1" applyProtection="1">
      <alignment horizontal="center" vertical="center" wrapText="1"/>
      <protection locked="0"/>
    </xf>
    <xf numFmtId="0" fontId="7" fillId="0" borderId="69" xfId="0" applyFont="1" applyBorder="1" applyAlignment="1" applyProtection="1">
      <alignment horizontal="center" vertical="center"/>
      <protection locked="0"/>
    </xf>
    <xf numFmtId="0" fontId="7" fillId="0" borderId="70" xfId="0" applyFont="1" applyBorder="1" applyAlignment="1" applyProtection="1">
      <alignment horizontal="center" vertical="center"/>
      <protection locked="0"/>
    </xf>
    <xf numFmtId="0" fontId="7" fillId="0" borderId="68" xfId="0" applyFont="1" applyBorder="1" applyAlignment="1" applyProtection="1">
      <alignment horizontal="center" vertical="center"/>
      <protection locked="0"/>
    </xf>
    <xf numFmtId="0" fontId="8" fillId="2" borderId="72" xfId="0" applyFont="1" applyFill="1" applyBorder="1" applyAlignment="1" applyProtection="1">
      <alignment horizontal="center" vertical="center"/>
      <protection hidden="1"/>
    </xf>
    <xf numFmtId="0" fontId="8" fillId="0" borderId="72" xfId="0" applyFont="1" applyBorder="1" applyAlignment="1" applyProtection="1">
      <alignment horizontal="center" vertical="center"/>
      <protection hidden="1"/>
    </xf>
    <xf numFmtId="0" fontId="8" fillId="0" borderId="73" xfId="0" applyFont="1" applyBorder="1" applyAlignment="1" applyProtection="1">
      <alignment horizontal="center" vertical="center"/>
      <protection hidden="1"/>
    </xf>
    <xf numFmtId="0" fontId="7" fillId="0" borderId="74" xfId="0" applyFont="1" applyBorder="1" applyAlignment="1" applyProtection="1">
      <alignment horizontal="center" vertical="center"/>
      <protection hidden="1"/>
    </xf>
    <xf numFmtId="1" fontId="8" fillId="0" borderId="75" xfId="0" applyNumberFormat="1" applyFont="1" applyBorder="1" applyAlignment="1" applyProtection="1">
      <alignment horizontal="center" vertical="center"/>
      <protection hidden="1"/>
    </xf>
    <xf numFmtId="1" fontId="8" fillId="0" borderId="64" xfId="0" applyNumberFormat="1" applyFont="1" applyBorder="1" applyAlignment="1" applyProtection="1">
      <alignment horizontal="center" vertical="center"/>
      <protection hidden="1"/>
    </xf>
    <xf numFmtId="0" fontId="6" fillId="0" borderId="22" xfId="0" applyFont="1" applyBorder="1" applyAlignment="1">
      <alignment vertical="center" wrapText="1"/>
    </xf>
    <xf numFmtId="0" fontId="6" fillId="0" borderId="23" xfId="0" applyFont="1" applyBorder="1" applyAlignment="1">
      <alignment vertical="center" wrapText="1"/>
    </xf>
    <xf numFmtId="0" fontId="6" fillId="0" borderId="28" xfId="0" applyFont="1" applyBorder="1" applyAlignment="1">
      <alignment vertical="center" wrapText="1"/>
    </xf>
    <xf numFmtId="0" fontId="6" fillId="0" borderId="29" xfId="0" applyFont="1" applyBorder="1" applyAlignment="1">
      <alignment vertical="center" wrapText="1"/>
    </xf>
    <xf numFmtId="0" fontId="6" fillId="0" borderId="27" xfId="0" applyFont="1" applyBorder="1" applyAlignment="1">
      <alignment vertical="center" wrapText="1"/>
    </xf>
    <xf numFmtId="0" fontId="6" fillId="0" borderId="0" xfId="0" applyFont="1" applyAlignment="1">
      <alignment horizontal="left" vertical="center"/>
    </xf>
    <xf numFmtId="0" fontId="6" fillId="0" borderId="73" xfId="0" applyFont="1" applyBorder="1" applyAlignment="1">
      <alignment vertical="center"/>
    </xf>
    <xf numFmtId="1" fontId="8" fillId="0" borderId="50" xfId="0" applyNumberFormat="1" applyFont="1" applyBorder="1" applyAlignment="1" applyProtection="1">
      <alignment horizontal="center" vertical="center"/>
      <protection hidden="1"/>
    </xf>
    <xf numFmtId="0" fontId="6" fillId="0" borderId="78" xfId="0" applyFont="1" applyBorder="1" applyAlignment="1">
      <alignment vertical="center"/>
    </xf>
    <xf numFmtId="0" fontId="7" fillId="0" borderId="17" xfId="0" applyFont="1" applyBorder="1" applyAlignment="1" applyProtection="1">
      <alignment horizontal="center" vertical="center"/>
      <protection locked="0"/>
    </xf>
    <xf numFmtId="0" fontId="7" fillId="0" borderId="37" xfId="0" applyFont="1" applyBorder="1" applyAlignment="1" applyProtection="1">
      <alignment horizontal="center" vertical="center"/>
      <protection locked="0"/>
    </xf>
    <xf numFmtId="0" fontId="7" fillId="0" borderId="18"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locked="0"/>
    </xf>
    <xf numFmtId="0" fontId="12" fillId="0" borderId="46" xfId="0" applyFont="1" applyBorder="1" applyAlignment="1">
      <alignment horizontal="right" vertical="center"/>
    </xf>
    <xf numFmtId="166" fontId="7" fillId="0" borderId="1" xfId="0" applyNumberFormat="1" applyFont="1" applyBorder="1" applyAlignment="1" applyProtection="1">
      <alignment horizontal="center" vertical="center" wrapText="1"/>
      <protection hidden="1"/>
    </xf>
    <xf numFmtId="166" fontId="7" fillId="0" borderId="38" xfId="0" applyNumberFormat="1" applyFont="1" applyBorder="1" applyAlignment="1" applyProtection="1">
      <alignment horizontal="center" vertical="center" wrapText="1"/>
      <protection hidden="1"/>
    </xf>
    <xf numFmtId="0" fontId="7" fillId="0" borderId="55" xfId="0" applyFont="1" applyBorder="1" applyAlignment="1" applyProtection="1">
      <alignment horizontal="center" vertical="center"/>
      <protection locked="0"/>
    </xf>
    <xf numFmtId="0" fontId="7" fillId="0" borderId="59" xfId="0" applyFont="1" applyBorder="1" applyAlignment="1" applyProtection="1">
      <alignment horizontal="center" vertical="center"/>
      <protection locked="0"/>
    </xf>
    <xf numFmtId="165" fontId="6" fillId="0" borderId="21" xfId="0" applyNumberFormat="1" applyFont="1" applyBorder="1" applyAlignment="1" applyProtection="1">
      <alignment horizontal="center" vertical="center"/>
      <protection locked="0"/>
    </xf>
    <xf numFmtId="0" fontId="7" fillId="0" borderId="71" xfId="0" applyFont="1" applyBorder="1" applyAlignment="1" applyProtection="1">
      <alignment horizontal="center" vertical="center"/>
      <protection locked="0"/>
    </xf>
    <xf numFmtId="0" fontId="7" fillId="0" borderId="63" xfId="0" applyFont="1" applyBorder="1" applyAlignment="1" applyProtection="1">
      <alignment horizontal="center" vertical="center"/>
      <protection locked="0"/>
    </xf>
    <xf numFmtId="0" fontId="5" fillId="0" borderId="22" xfId="0" applyFont="1" applyBorder="1" applyAlignment="1">
      <alignment vertical="center"/>
    </xf>
    <xf numFmtId="0" fontId="5" fillId="0" borderId="27" xfId="0" applyFont="1" applyBorder="1" applyAlignment="1">
      <alignment vertical="center"/>
    </xf>
    <xf numFmtId="0" fontId="5" fillId="0" borderId="30" xfId="0" applyFont="1" applyBorder="1" applyAlignment="1">
      <alignment vertical="center"/>
    </xf>
    <xf numFmtId="0" fontId="8" fillId="0" borderId="15" xfId="0" applyFont="1" applyBorder="1" applyAlignment="1" applyProtection="1">
      <alignment horizontal="center"/>
      <protection locked="0"/>
    </xf>
    <xf numFmtId="0" fontId="13" fillId="0" borderId="0" xfId="0" applyFont="1" applyAlignment="1" applyProtection="1">
      <alignment horizontal="center" textRotation="90"/>
      <protection locked="0"/>
    </xf>
    <xf numFmtId="0" fontId="5" fillId="0" borderId="26" xfId="0" applyFont="1" applyBorder="1" applyAlignment="1">
      <alignment vertical="center" textRotation="90"/>
    </xf>
    <xf numFmtId="0" fontId="7" fillId="0" borderId="81" xfId="0" applyFont="1" applyBorder="1" applyAlignment="1" applyProtection="1">
      <alignment horizontal="center" vertical="center"/>
      <protection locked="0"/>
    </xf>
    <xf numFmtId="0" fontId="8" fillId="0" borderId="23" xfId="0" applyFont="1" applyBorder="1" applyAlignment="1">
      <alignment horizontal="center" vertical="center"/>
    </xf>
    <xf numFmtId="0" fontId="8" fillId="0" borderId="26" xfId="0" applyFont="1" applyBorder="1" applyAlignment="1" applyProtection="1">
      <alignment horizontal="center"/>
      <protection locked="0"/>
    </xf>
    <xf numFmtId="0" fontId="13" fillId="0" borderId="29" xfId="0" applyFont="1" applyBorder="1" applyAlignment="1" applyProtection="1">
      <alignment horizontal="center" textRotation="90"/>
      <protection locked="0"/>
    </xf>
    <xf numFmtId="0" fontId="5" fillId="0" borderId="30" xfId="0" applyFont="1" applyBorder="1" applyAlignment="1">
      <alignment vertical="center" textRotation="90"/>
    </xf>
    <xf numFmtId="0" fontId="7" fillId="0" borderId="29" xfId="0" applyFont="1" applyBorder="1" applyAlignment="1" applyProtection="1">
      <alignment horizontal="center" vertical="center"/>
      <protection locked="0"/>
    </xf>
    <xf numFmtId="0" fontId="13" fillId="0" borderId="28" xfId="0" applyFont="1" applyBorder="1" applyAlignment="1">
      <alignment horizontal="center" textRotation="90"/>
    </xf>
    <xf numFmtId="0" fontId="13" fillId="0" borderId="13" xfId="0" applyFont="1" applyBorder="1" applyAlignment="1">
      <alignment horizontal="center" textRotation="90"/>
    </xf>
    <xf numFmtId="0" fontId="13" fillId="0" borderId="33" xfId="0" applyFont="1" applyBorder="1" applyAlignment="1">
      <alignment horizontal="center" textRotation="90"/>
    </xf>
    <xf numFmtId="0" fontId="13" fillId="0" borderId="66" xfId="0" applyFont="1" applyBorder="1" applyAlignment="1">
      <alignment horizontal="center" textRotation="90"/>
    </xf>
    <xf numFmtId="0" fontId="13" fillId="0" borderId="14" xfId="0" applyFont="1" applyBorder="1" applyAlignment="1">
      <alignment horizontal="center" textRotation="90"/>
    </xf>
    <xf numFmtId="0" fontId="3" fillId="0" borderId="0" xfId="0" applyFont="1" applyAlignment="1">
      <alignment horizontal="center" vertical="center"/>
    </xf>
    <xf numFmtId="0" fontId="14" fillId="0" borderId="0" xfId="0" applyFont="1" applyAlignment="1">
      <alignment horizontal="center" vertical="center"/>
    </xf>
    <xf numFmtId="0" fontId="4" fillId="0" borderId="3" xfId="0" applyFont="1" applyBorder="1" applyAlignment="1">
      <alignment horizontal="center" vertical="center"/>
    </xf>
    <xf numFmtId="0" fontId="4" fillId="0" borderId="37" xfId="0" applyFont="1" applyBorder="1" applyAlignment="1">
      <alignment horizontal="center" vertical="center"/>
    </xf>
    <xf numFmtId="0" fontId="4" fillId="0" borderId="4" xfId="0" applyFont="1" applyBorder="1" applyAlignment="1">
      <alignment horizontal="center" vertical="center"/>
    </xf>
    <xf numFmtId="14" fontId="4" fillId="0" borderId="3" xfId="0" applyNumberFormat="1" applyFont="1" applyBorder="1" applyAlignment="1">
      <alignment horizontal="center" vertical="center"/>
    </xf>
    <xf numFmtId="0" fontId="12" fillId="0" borderId="0" xfId="0" applyFont="1" applyAlignment="1">
      <alignment horizontal="right" vertical="center"/>
    </xf>
    <xf numFmtId="0" fontId="12" fillId="0" borderId="46" xfId="0" applyFont="1" applyBorder="1" applyAlignment="1">
      <alignment horizontal="right" vertical="center"/>
    </xf>
    <xf numFmtId="49" fontId="4" fillId="0" borderId="1" xfId="0" applyNumberFormat="1" applyFont="1" applyBorder="1" applyAlignment="1">
      <alignment horizontal="center" vertical="center"/>
    </xf>
    <xf numFmtId="0" fontId="12" fillId="0" borderId="33" xfId="0" applyFont="1" applyBorder="1" applyAlignment="1">
      <alignment horizontal="right" vertical="center"/>
    </xf>
    <xf numFmtId="0" fontId="4" fillId="0" borderId="1" xfId="0" applyFont="1" applyBorder="1" applyAlignment="1">
      <alignment horizontal="center" vertical="center"/>
    </xf>
    <xf numFmtId="0" fontId="7" fillId="0" borderId="17" xfId="0" applyFont="1" applyBorder="1" applyAlignment="1" applyProtection="1">
      <alignment horizontal="center" vertical="center"/>
      <protection locked="0"/>
    </xf>
    <xf numFmtId="0" fontId="7" fillId="0" borderId="37" xfId="0" applyFont="1" applyBorder="1" applyAlignment="1" applyProtection="1">
      <alignment horizontal="center" vertical="center"/>
      <protection locked="0"/>
    </xf>
    <xf numFmtId="0" fontId="7" fillId="0" borderId="18" xfId="0" applyFont="1" applyBorder="1" applyAlignment="1" applyProtection="1">
      <alignment horizontal="center" vertical="center"/>
      <protection locked="0"/>
    </xf>
    <xf numFmtId="0" fontId="4" fillId="0" borderId="2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0" xfId="0" applyFont="1" applyAlignment="1">
      <alignment horizontal="center" vertical="center"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8" fillId="0" borderId="8" xfId="0" applyFont="1" applyBorder="1" applyAlignment="1">
      <alignment horizontal="center" vertical="center"/>
    </xf>
    <xf numFmtId="0" fontId="8" fillId="0" borderId="15" xfId="0" applyFont="1" applyBorder="1" applyAlignment="1">
      <alignment horizontal="center" vertical="center"/>
    </xf>
    <xf numFmtId="0" fontId="8" fillId="0" borderId="9" xfId="0" applyFont="1" applyBorder="1" applyAlignment="1">
      <alignment horizontal="center" vertical="center"/>
    </xf>
    <xf numFmtId="0" fontId="8" fillId="0" borderId="22" xfId="0" applyFont="1" applyBorder="1" applyAlignment="1">
      <alignment horizontal="center" vertical="distributed"/>
    </xf>
    <xf numFmtId="0" fontId="8" fillId="0" borderId="27" xfId="0" applyFont="1" applyBorder="1" applyAlignment="1">
      <alignment horizontal="center" vertical="distributed"/>
    </xf>
    <xf numFmtId="0" fontId="8" fillId="0" borderId="25" xfId="0" applyFont="1" applyBorder="1" applyAlignment="1">
      <alignment horizontal="center" vertical="distributed"/>
    </xf>
    <xf numFmtId="0" fontId="8" fillId="0" borderId="30" xfId="0" applyFont="1" applyBorder="1" applyAlignment="1">
      <alignment horizontal="center" vertical="distributed"/>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7"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0" xfId="0" applyFont="1" applyAlignment="1">
      <alignment horizontal="center" vertical="center" wrapText="1"/>
    </xf>
    <xf numFmtId="0" fontId="7" fillId="0" borderId="29"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6" xfId="0" applyFont="1" applyBorder="1" applyAlignment="1">
      <alignment horizontal="center" vertical="center" wrapText="1"/>
    </xf>
    <xf numFmtId="0" fontId="7" fillId="0" borderId="30" xfId="0" applyFont="1" applyBorder="1" applyAlignment="1">
      <alignment horizontal="center" vertical="center" wrapText="1"/>
    </xf>
    <xf numFmtId="164" fontId="7" fillId="0" borderId="24" xfId="0" applyNumberFormat="1" applyFont="1" applyBorder="1" applyAlignment="1">
      <alignment horizontal="center" vertical="center"/>
    </xf>
    <xf numFmtId="164" fontId="7" fillId="0" borderId="16" xfId="0" applyNumberFormat="1" applyFont="1" applyBorder="1" applyAlignment="1">
      <alignment horizontal="center" vertical="center"/>
    </xf>
    <xf numFmtId="0" fontId="10" fillId="0" borderId="17" xfId="0" applyFont="1" applyBorder="1" applyAlignment="1" applyProtection="1">
      <alignment horizontal="center" vertical="center"/>
      <protection locked="0"/>
    </xf>
    <xf numFmtId="0" fontId="10" fillId="0" borderId="3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7" fillId="0" borderId="19" xfId="0" applyFont="1" applyBorder="1" applyAlignment="1" applyProtection="1">
      <alignment horizontal="center" vertical="center"/>
      <protection locked="0"/>
    </xf>
    <xf numFmtId="0" fontId="7" fillId="0" borderId="34" xfId="0" applyFont="1" applyBorder="1" applyAlignment="1" applyProtection="1">
      <alignment horizontal="center" vertical="center"/>
      <protection locked="0"/>
    </xf>
    <xf numFmtId="0" fontId="7" fillId="0" borderId="20" xfId="0" applyFont="1" applyBorder="1" applyAlignment="1" applyProtection="1">
      <alignment horizontal="center" vertical="center"/>
      <protection locked="0"/>
    </xf>
    <xf numFmtId="0" fontId="8" fillId="0" borderId="50" xfId="0" applyFont="1" applyBorder="1" applyAlignment="1" applyProtection="1">
      <alignment horizontal="center" vertical="center"/>
      <protection hidden="1"/>
    </xf>
    <xf numFmtId="0" fontId="8" fillId="0" borderId="64" xfId="0" applyFont="1" applyBorder="1" applyAlignment="1" applyProtection="1">
      <alignment horizontal="center" vertical="center"/>
      <protection hidden="1"/>
    </xf>
    <xf numFmtId="0" fontId="7" fillId="0" borderId="50" xfId="0" applyFont="1" applyBorder="1" applyAlignment="1">
      <alignment horizontal="center" vertical="center" wrapText="1"/>
    </xf>
    <xf numFmtId="0" fontId="7" fillId="0" borderId="73" xfId="0" applyFont="1" applyBorder="1" applyAlignment="1">
      <alignment horizontal="center" vertical="center" wrapText="1"/>
    </xf>
    <xf numFmtId="0" fontId="7" fillId="0" borderId="64" xfId="0" applyFont="1" applyBorder="1" applyAlignment="1">
      <alignment horizontal="center" vertical="center" wrapText="1"/>
    </xf>
    <xf numFmtId="0" fontId="7" fillId="0" borderId="49" xfId="0" applyFont="1" applyBorder="1" applyAlignment="1" applyProtection="1">
      <alignment horizontal="center" vertical="center"/>
      <protection locked="0"/>
    </xf>
    <xf numFmtId="0" fontId="7" fillId="0" borderId="6"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locked="0"/>
    </xf>
    <xf numFmtId="0" fontId="7" fillId="0" borderId="0" xfId="0" applyFont="1" applyAlignment="1">
      <alignment horizontal="left" vertical="center"/>
    </xf>
    <xf numFmtId="0" fontId="6" fillId="0" borderId="79" xfId="0" applyFont="1" applyBorder="1" applyAlignment="1" applyProtection="1">
      <alignment horizontal="center" vertical="center"/>
      <protection hidden="1"/>
    </xf>
    <xf numFmtId="0" fontId="6" fillId="0" borderId="5" xfId="0" applyFont="1" applyBorder="1" applyAlignment="1" applyProtection="1">
      <alignment horizontal="center" vertical="center"/>
      <protection hidden="1"/>
    </xf>
    <xf numFmtId="0" fontId="6" fillId="0" borderId="42" xfId="0" applyFont="1" applyBorder="1" applyAlignment="1" applyProtection="1">
      <alignment horizontal="center" vertical="center"/>
      <protection hidden="1"/>
    </xf>
    <xf numFmtId="0" fontId="6" fillId="0" borderId="38" xfId="0" applyFont="1" applyBorder="1" applyAlignment="1" applyProtection="1">
      <alignment horizontal="center" vertical="center"/>
      <protection hidden="1"/>
    </xf>
    <xf numFmtId="0" fontId="7" fillId="0" borderId="76" xfId="0" applyFont="1" applyBorder="1" applyAlignment="1">
      <alignment horizontal="center" vertical="center" wrapText="1"/>
    </xf>
    <xf numFmtId="0" fontId="7" fillId="0" borderId="72" xfId="0" applyFont="1" applyBorder="1" applyAlignment="1">
      <alignment horizontal="center" vertical="center" wrapText="1"/>
    </xf>
    <xf numFmtId="0" fontId="7" fillId="0" borderId="77" xfId="0" applyFont="1" applyBorder="1" applyAlignment="1">
      <alignment horizontal="center" vertical="center" wrapText="1"/>
    </xf>
    <xf numFmtId="0" fontId="11" fillId="0" borderId="31" xfId="0" applyFont="1" applyBorder="1" applyAlignment="1" applyProtection="1">
      <alignment horizontal="center" vertical="center"/>
      <protection hidden="1"/>
    </xf>
    <xf numFmtId="0" fontId="11" fillId="0" borderId="39" xfId="0" applyFont="1" applyBorder="1" applyAlignment="1" applyProtection="1">
      <alignment horizontal="center" vertical="center"/>
      <protection hidden="1"/>
    </xf>
    <xf numFmtId="0" fontId="11" fillId="0" borderId="32" xfId="0" applyFont="1" applyBorder="1" applyAlignment="1" applyProtection="1">
      <alignment horizontal="center" vertical="center"/>
      <protection hidden="1"/>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30" xfId="0" applyFont="1" applyBorder="1" applyAlignment="1">
      <alignment horizontal="center" vertical="center"/>
    </xf>
    <xf numFmtId="0" fontId="16" fillId="0" borderId="0" xfId="0" applyFont="1" applyAlignment="1">
      <alignment horizontal="left" vertical="center"/>
    </xf>
    <xf numFmtId="0" fontId="8" fillId="0" borderId="47" xfId="0" applyFont="1" applyBorder="1" applyAlignment="1">
      <alignment horizontal="center" vertical="center" wrapText="1"/>
    </xf>
    <xf numFmtId="0" fontId="8" fillId="0" borderId="7" xfId="0" applyFont="1" applyBorder="1" applyAlignment="1">
      <alignment horizontal="center" vertical="center" wrapText="1"/>
    </xf>
    <xf numFmtId="0" fontId="14" fillId="0" borderId="22" xfId="0" applyFont="1" applyBorder="1" applyAlignment="1">
      <alignment horizontal="center" vertical="center"/>
    </xf>
    <xf numFmtId="0" fontId="14" fillId="0" borderId="23" xfId="0" applyFont="1" applyBorder="1" applyAlignment="1">
      <alignment horizontal="center" vertical="center"/>
    </xf>
    <xf numFmtId="0" fontId="14" fillId="0" borderId="51" xfId="0" applyFont="1" applyBorder="1" applyAlignment="1">
      <alignment horizontal="center" vertical="center"/>
    </xf>
    <xf numFmtId="0" fontId="14" fillId="0" borderId="49" xfId="0" applyFont="1" applyBorder="1" applyAlignment="1">
      <alignment horizontal="center" vertical="center"/>
    </xf>
    <xf numFmtId="0" fontId="14" fillId="0" borderId="6" xfId="0" applyFont="1" applyBorder="1" applyAlignment="1">
      <alignment horizontal="center" vertical="center"/>
    </xf>
    <xf numFmtId="0" fontId="14" fillId="0" borderId="43" xfId="0" applyFont="1" applyBorder="1" applyAlignment="1">
      <alignment horizontal="center" vertical="center"/>
    </xf>
    <xf numFmtId="0" fontId="5" fillId="0" borderId="22"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5" xfId="0" applyFont="1" applyBorder="1" applyAlignment="1">
      <alignment horizontal="center" vertical="center" wrapText="1"/>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30" xfId="0" applyFont="1" applyBorder="1" applyAlignment="1">
      <alignment horizontal="center" vertical="center" wrapText="1"/>
    </xf>
    <xf numFmtId="0" fontId="6" fillId="0" borderId="2" xfId="0" applyFont="1" applyBorder="1" applyAlignment="1" applyProtection="1">
      <alignment horizontal="center" vertical="center" wrapText="1"/>
      <protection hidden="1"/>
    </xf>
    <xf numFmtId="0" fontId="6" fillId="0" borderId="5" xfId="0" applyFont="1" applyBorder="1" applyAlignment="1" applyProtection="1">
      <alignment horizontal="center" vertical="center" wrapText="1"/>
      <protection hidden="1"/>
    </xf>
    <xf numFmtId="0" fontId="6" fillId="0" borderId="44" xfId="0" applyFont="1" applyBorder="1" applyAlignment="1" applyProtection="1">
      <alignment horizontal="center" vertical="center" wrapText="1"/>
      <protection hidden="1"/>
    </xf>
    <xf numFmtId="0" fontId="6" fillId="0" borderId="42" xfId="0" applyFont="1" applyBorder="1" applyAlignment="1" applyProtection="1">
      <alignment horizontal="center" vertical="center" wrapText="1"/>
      <protection hidden="1"/>
    </xf>
    <xf numFmtId="0" fontId="7" fillId="0" borderId="34" xfId="0" applyFont="1" applyBorder="1" applyAlignment="1">
      <alignment horizontal="center" vertical="center"/>
    </xf>
    <xf numFmtId="0" fontId="7" fillId="0" borderId="0" xfId="0" applyFont="1" applyAlignment="1">
      <alignment horizontal="right" vertical="center"/>
    </xf>
    <xf numFmtId="0" fontId="14" fillId="0" borderId="0" xfId="0" applyFont="1" applyAlignment="1">
      <alignment horizontal="center" vertical="center" wrapText="1"/>
    </xf>
    <xf numFmtId="0" fontId="7" fillId="0" borderId="6" xfId="0" applyFont="1" applyBorder="1" applyAlignment="1">
      <alignment horizontal="center" vertical="center" wrapText="1"/>
    </xf>
    <xf numFmtId="0" fontId="6" fillId="0" borderId="2" xfId="0" applyFont="1" applyBorder="1" applyAlignment="1" applyProtection="1">
      <alignment horizontal="center" vertical="center"/>
      <protection hidden="1"/>
    </xf>
    <xf numFmtId="0" fontId="7" fillId="0" borderId="6" xfId="0" applyFont="1" applyBorder="1" applyAlignment="1">
      <alignment horizontal="center" vertical="center"/>
    </xf>
    <xf numFmtId="0" fontId="7" fillId="0" borderId="0" xfId="0" applyFont="1" applyAlignment="1">
      <alignment horizontal="center" vertical="center"/>
    </xf>
    <xf numFmtId="0" fontId="14" fillId="0" borderId="19" xfId="0" applyFont="1" applyBorder="1" applyAlignment="1">
      <alignment horizontal="center" vertical="center" wrapText="1"/>
    </xf>
    <xf numFmtId="0" fontId="14" fillId="0" borderId="34" xfId="0" applyFont="1" applyBorder="1" applyAlignment="1">
      <alignment horizontal="center" vertical="center" wrapText="1"/>
    </xf>
    <xf numFmtId="0" fontId="14" fillId="0" borderId="80" xfId="0" applyFont="1" applyBorder="1" applyAlignment="1">
      <alignment horizontal="center" vertical="center" wrapText="1"/>
    </xf>
    <xf numFmtId="0" fontId="14" fillId="0" borderId="49" xfId="0" applyFont="1" applyBorder="1" applyAlignment="1">
      <alignment horizontal="center" vertical="center" wrapText="1"/>
    </xf>
    <xf numFmtId="0" fontId="14" fillId="0" borderId="6" xfId="0" applyFont="1" applyBorder="1" applyAlignment="1">
      <alignment horizontal="center" vertical="center" wrapText="1"/>
    </xf>
    <xf numFmtId="0" fontId="14" fillId="0" borderId="43" xfId="0" applyFont="1" applyBorder="1" applyAlignment="1">
      <alignment horizontal="center" vertical="center" wrapText="1"/>
    </xf>
    <xf numFmtId="2" fontId="7" fillId="0" borderId="2" xfId="0" applyNumberFormat="1" applyFont="1" applyBorder="1" applyAlignment="1" applyProtection="1">
      <alignment horizontal="center" vertical="center"/>
      <protection hidden="1"/>
    </xf>
    <xf numFmtId="2" fontId="7" fillId="0" borderId="5" xfId="0" applyNumberFormat="1" applyFont="1" applyBorder="1" applyAlignment="1" applyProtection="1">
      <alignment horizontal="center" vertical="center"/>
      <protection hidden="1"/>
    </xf>
    <xf numFmtId="2" fontId="7" fillId="0" borderId="44" xfId="0" applyNumberFormat="1" applyFont="1" applyBorder="1" applyAlignment="1" applyProtection="1">
      <alignment horizontal="center" vertical="center" wrapText="1"/>
      <protection hidden="1"/>
    </xf>
    <xf numFmtId="2" fontId="7" fillId="0" borderId="42" xfId="0" applyNumberFormat="1" applyFont="1" applyBorder="1" applyAlignment="1" applyProtection="1">
      <alignment horizontal="center" vertical="center" wrapText="1"/>
      <protection hidden="1"/>
    </xf>
    <xf numFmtId="0" fontId="7" fillId="0" borderId="0" xfId="0" applyFont="1" applyAlignment="1">
      <alignment horizontal="right" vertical="center" wrapText="1"/>
    </xf>
    <xf numFmtId="0" fontId="14" fillId="0" borderId="0" xfId="0" applyFont="1" applyAlignment="1">
      <alignment horizontal="left" vertical="center"/>
    </xf>
    <xf numFmtId="0" fontId="14" fillId="0" borderId="19" xfId="0" applyFont="1" applyBorder="1" applyAlignment="1">
      <alignment horizontal="center" vertical="top" wrapText="1"/>
    </xf>
    <xf numFmtId="0" fontId="14" fillId="0" borderId="34" xfId="0" applyFont="1" applyBorder="1" applyAlignment="1">
      <alignment horizontal="center" vertical="top" wrapText="1"/>
    </xf>
    <xf numFmtId="0" fontId="14" fillId="0" borderId="80" xfId="0" applyFont="1" applyBorder="1" applyAlignment="1">
      <alignment horizontal="center" vertical="top" wrapText="1"/>
    </xf>
    <xf numFmtId="0" fontId="14" fillId="0" borderId="49" xfId="0" applyFont="1" applyBorder="1" applyAlignment="1">
      <alignment horizontal="center" vertical="top" wrapText="1"/>
    </xf>
    <xf numFmtId="0" fontId="14" fillId="0" borderId="6" xfId="0" applyFont="1" applyBorder="1" applyAlignment="1">
      <alignment horizontal="center" vertical="top" wrapText="1"/>
    </xf>
    <xf numFmtId="0" fontId="14" fillId="0" borderId="43" xfId="0" applyFont="1" applyBorder="1" applyAlignment="1">
      <alignment horizontal="center" vertical="top" wrapText="1"/>
    </xf>
    <xf numFmtId="0" fontId="14" fillId="0" borderId="17" xfId="0" applyFont="1" applyBorder="1" applyAlignment="1">
      <alignment horizontal="center" vertical="center"/>
    </xf>
    <xf numFmtId="0" fontId="14" fillId="0" borderId="37" xfId="0" applyFont="1" applyBorder="1" applyAlignment="1">
      <alignment horizontal="center" vertical="center"/>
    </xf>
    <xf numFmtId="0" fontId="14" fillId="0" borderId="4" xfId="0" applyFont="1" applyBorder="1" applyAlignment="1">
      <alignment horizontal="center" vertical="center"/>
    </xf>
    <xf numFmtId="0" fontId="7" fillId="0" borderId="0" xfId="0" applyFont="1" applyAlignment="1">
      <alignment horizontal="left" vertical="top" wrapText="1"/>
    </xf>
    <xf numFmtId="166" fontId="7" fillId="0" borderId="2" xfId="0" applyNumberFormat="1" applyFont="1" applyBorder="1" applyAlignment="1" applyProtection="1">
      <alignment horizontal="center" vertical="center"/>
      <protection hidden="1"/>
    </xf>
    <xf numFmtId="166" fontId="7" fillId="0" borderId="5" xfId="0" applyNumberFormat="1" applyFont="1" applyBorder="1" applyAlignment="1" applyProtection="1">
      <alignment horizontal="center" vertical="center"/>
      <protection hidden="1"/>
    </xf>
    <xf numFmtId="166" fontId="7" fillId="0" borderId="44" xfId="0" applyNumberFormat="1" applyFont="1" applyBorder="1" applyAlignment="1" applyProtection="1">
      <alignment horizontal="center" vertical="center" wrapText="1"/>
      <protection hidden="1"/>
    </xf>
    <xf numFmtId="166" fontId="7" fillId="0" borderId="42" xfId="0" applyNumberFormat="1" applyFont="1" applyBorder="1" applyAlignment="1" applyProtection="1">
      <alignment horizontal="center" vertical="center" wrapText="1"/>
      <protection hidden="1"/>
    </xf>
    <xf numFmtId="0" fontId="7" fillId="0" borderId="0" xfId="0" applyFont="1" applyAlignment="1">
      <alignment horizontal="left" vertical="center" wrapText="1"/>
    </xf>
    <xf numFmtId="0" fontId="7" fillId="0" borderId="2" xfId="0" applyFont="1" applyBorder="1" applyAlignment="1" applyProtection="1">
      <alignment horizontal="center" vertical="center"/>
      <protection hidden="1"/>
    </xf>
    <xf numFmtId="0" fontId="7" fillId="0" borderId="5" xfId="0" applyFont="1" applyBorder="1" applyAlignment="1" applyProtection="1">
      <alignment horizontal="center" vertical="center"/>
      <protection hidden="1"/>
    </xf>
    <xf numFmtId="0" fontId="7" fillId="0" borderId="44" xfId="0" applyFont="1" applyBorder="1" applyAlignment="1" applyProtection="1">
      <alignment horizontal="center" vertical="center"/>
      <protection hidden="1"/>
    </xf>
    <xf numFmtId="0" fontId="7" fillId="0" borderId="42" xfId="0" applyFont="1" applyBorder="1" applyAlignment="1" applyProtection="1">
      <alignment horizontal="center" vertical="center"/>
      <protection hidden="1"/>
    </xf>
    <xf numFmtId="0" fontId="7" fillId="0" borderId="2" xfId="0" applyFont="1" applyBorder="1" applyAlignment="1" applyProtection="1">
      <alignment horizontal="center" vertical="center" wrapText="1"/>
      <protection hidden="1"/>
    </xf>
    <xf numFmtId="0" fontId="7" fillId="0" borderId="5" xfId="0" applyFont="1" applyBorder="1" applyAlignment="1" applyProtection="1">
      <alignment horizontal="center" vertical="center" wrapText="1"/>
      <protection hidden="1"/>
    </xf>
    <xf numFmtId="0" fontId="7" fillId="0" borderId="44" xfId="0" applyFont="1" applyBorder="1" applyAlignment="1" applyProtection="1">
      <alignment horizontal="center" vertical="center" wrapText="1"/>
      <protection hidden="1"/>
    </xf>
    <xf numFmtId="0" fontId="7" fillId="0" borderId="42" xfId="0" applyFont="1" applyBorder="1" applyAlignment="1" applyProtection="1">
      <alignment horizontal="center" vertical="center" wrapText="1"/>
      <protection hidden="1"/>
    </xf>
    <xf numFmtId="0" fontId="5" fillId="0" borderId="19" xfId="0" applyFont="1" applyBorder="1" applyAlignment="1">
      <alignment horizontal="center" vertical="center"/>
    </xf>
    <xf numFmtId="0" fontId="5" fillId="0" borderId="34" xfId="0" applyFont="1" applyBorder="1" applyAlignment="1">
      <alignment horizontal="center" vertical="center"/>
    </xf>
    <xf numFmtId="0" fontId="5" fillId="0" borderId="80" xfId="0" applyFont="1" applyBorder="1" applyAlignment="1">
      <alignment horizontal="center" vertical="center"/>
    </xf>
    <xf numFmtId="0" fontId="5" fillId="0" borderId="49" xfId="0" applyFont="1" applyBorder="1" applyAlignment="1">
      <alignment horizontal="center" vertical="center"/>
    </xf>
    <xf numFmtId="0" fontId="5" fillId="0" borderId="6" xfId="0" applyFont="1" applyBorder="1" applyAlignment="1">
      <alignment horizontal="center" vertical="center"/>
    </xf>
    <xf numFmtId="0" fontId="5" fillId="0" borderId="43" xfId="0" applyFont="1" applyBorder="1" applyAlignment="1">
      <alignment horizontal="center" vertical="center"/>
    </xf>
    <xf numFmtId="0" fontId="9" fillId="0" borderId="34" xfId="0" applyFont="1" applyBorder="1" applyAlignment="1">
      <alignment horizontal="center" vertical="center"/>
    </xf>
    <xf numFmtId="0" fontId="5" fillId="0" borderId="0" xfId="0" applyFont="1" applyAlignment="1">
      <alignment horizontal="center"/>
    </xf>
    <xf numFmtId="0" fontId="5" fillId="0" borderId="6" xfId="0" applyFont="1" applyBorder="1" applyAlignment="1">
      <alignment horizontal="center"/>
    </xf>
    <xf numFmtId="0" fontId="18" fillId="0" borderId="0" xfId="0" applyFont="1" applyAlignment="1">
      <alignment horizontal="center"/>
    </xf>
    <xf numFmtId="0" fontId="6" fillId="0" borderId="0" xfId="0" applyFont="1" applyAlignment="1">
      <alignment horizontal="center" vertical="center" wrapText="1"/>
    </xf>
    <xf numFmtId="0" fontId="7" fillId="0" borderId="11" xfId="0" applyFont="1" applyBorder="1" applyAlignment="1" applyProtection="1">
      <alignment horizontal="center" vertical="center"/>
      <protection hidden="1"/>
    </xf>
    <xf numFmtId="0" fontId="7" fillId="0" borderId="38" xfId="0" applyFont="1" applyBorder="1" applyAlignment="1" applyProtection="1">
      <alignment horizontal="center" vertical="center"/>
      <protection hidden="1"/>
    </xf>
    <xf numFmtId="0" fontId="7" fillId="0" borderId="40" xfId="0" applyFont="1" applyBorder="1" applyAlignment="1" applyProtection="1">
      <alignment horizontal="center" vertical="center"/>
      <protection hidden="1"/>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5" fillId="0" borderId="35" xfId="0" applyFont="1" applyBorder="1" applyAlignment="1">
      <alignment horizontal="center" vertical="center"/>
    </xf>
    <xf numFmtId="0" fontId="19" fillId="0" borderId="3" xfId="1" applyFont="1" applyBorder="1" applyAlignment="1" applyProtection="1">
      <alignment vertical="top"/>
      <protection locked="0"/>
    </xf>
    <xf numFmtId="0" fontId="19" fillId="0" borderId="37" xfId="1" applyFont="1" applyBorder="1" applyAlignment="1" applyProtection="1">
      <alignment vertical="top"/>
      <protection locked="0"/>
    </xf>
    <xf numFmtId="0" fontId="19" fillId="0" borderId="67" xfId="1" applyFont="1" applyBorder="1" applyAlignment="1" applyProtection="1">
      <alignment vertical="top"/>
      <protection locked="0"/>
    </xf>
    <xf numFmtId="0" fontId="19" fillId="0" borderId="34" xfId="1" applyFont="1" applyBorder="1" applyAlignment="1" applyProtection="1">
      <alignment vertical="top"/>
      <protection locked="0"/>
    </xf>
    <xf numFmtId="0" fontId="19" fillId="0" borderId="18" xfId="1" applyFont="1" applyBorder="1" applyAlignment="1" applyProtection="1">
      <alignment vertical="top"/>
      <protection locked="0"/>
    </xf>
  </cellXfs>
  <cellStyles count="3">
    <cellStyle name="Normal" xfId="0" builtinId="0"/>
    <cellStyle name="Normal 2" xfId="1" xr:uid="{00000000-0005-0000-0000-000002000000}"/>
    <cellStyle name="Normal 3" xfId="2" xr:uid="{00000000-0005-0000-0000-000003000000}"/>
  </cellStyles>
  <dxfs count="3">
    <dxf>
      <font>
        <color rgb="FFFF0000"/>
      </font>
      <fill>
        <patternFill>
          <bgColor theme="0" tint="-0.14996795556505021"/>
        </patternFill>
      </fill>
    </dxf>
    <dxf>
      <font>
        <strike/>
        <color rgb="FFFF0000"/>
      </font>
      <fill>
        <patternFill>
          <bgColor theme="0" tint="-0.14996795556505021"/>
        </patternFill>
      </fill>
    </dxf>
    <dxf>
      <font>
        <strike/>
        <color rgb="FFFF0000"/>
      </font>
      <fill>
        <patternFill>
          <bgColor theme="0" tint="-0.14996795556505021"/>
        </patternFill>
      </fill>
    </dxf>
  </dxfs>
  <tableStyles count="0" defaultTableStyle="TableStyleMedium9" defaultPivotStyle="PivotStyleLight16"/>
  <colors>
    <mruColors>
      <color rgb="FFFFCCFF"/>
      <color rgb="FF66FF33"/>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wmf"/><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391441</xdr:colOff>
      <xdr:row>0</xdr:row>
      <xdr:rowOff>35718</xdr:rowOff>
    </xdr:from>
    <xdr:ext cx="1231280" cy="1227243"/>
    <xdr:pic>
      <xdr:nvPicPr>
        <xdr:cNvPr id="2" name="Picture 1" descr="deped seal.png">
          <a:extLst>
            <a:ext uri="{FF2B5EF4-FFF2-40B4-BE49-F238E27FC236}">
              <a16:creationId xmlns:a16="http://schemas.microsoft.com/office/drawing/2014/main" id="{871A8C7E-D058-4264-81DD-ACA23EC72C1A}"/>
            </a:ext>
          </a:extLst>
        </xdr:cNvPr>
        <xdr:cNvPicPr>
          <a:picLocks noChangeAspect="1"/>
        </xdr:cNvPicPr>
      </xdr:nvPicPr>
      <xdr:blipFill>
        <a:blip xmlns:r="http://schemas.openxmlformats.org/officeDocument/2006/relationships" r:embed="rId1" cstate="print"/>
        <a:srcRect l="5389" t="5090" r="3293" b="3892"/>
        <a:stretch>
          <a:fillRect/>
        </a:stretch>
      </xdr:blipFill>
      <xdr:spPr>
        <a:xfrm>
          <a:off x="678496" y="35718"/>
          <a:ext cx="1231280" cy="1227243"/>
        </a:xfrm>
        <a:prstGeom prst="rect">
          <a:avLst/>
        </a:prstGeom>
      </xdr:spPr>
    </xdr:pic>
    <xdr:clientData/>
  </xdr:oneCellAnchor>
  <xdr:oneCellAnchor>
    <xdr:from>
      <xdr:col>40</xdr:col>
      <xdr:colOff>452477</xdr:colOff>
      <xdr:row>0</xdr:row>
      <xdr:rowOff>47642</xdr:rowOff>
    </xdr:from>
    <xdr:ext cx="2712554" cy="1262046"/>
    <xdr:pic>
      <xdr:nvPicPr>
        <xdr:cNvPr id="3" name="Picture 2">
          <a:extLst>
            <a:ext uri="{FF2B5EF4-FFF2-40B4-BE49-F238E27FC236}">
              <a16:creationId xmlns:a16="http://schemas.microsoft.com/office/drawing/2014/main" id="{79C3104C-5F48-4C23-9B2E-D9BB5E811614}"/>
            </a:ext>
          </a:extLst>
        </xdr:cNvPr>
        <xdr:cNvPicPr/>
      </xdr:nvPicPr>
      <xdr:blipFill>
        <a:blip xmlns:r="http://schemas.openxmlformats.org/officeDocument/2006/relationships" r:embed="rId2" cstate="print"/>
        <a:srcRect/>
        <a:stretch>
          <a:fillRect/>
        </a:stretch>
      </xdr:blipFill>
      <xdr:spPr bwMode="auto">
        <a:xfrm>
          <a:off x="12330152" y="47642"/>
          <a:ext cx="2712554" cy="1262046"/>
        </a:xfrm>
        <a:prstGeom prst="rect">
          <a:avLst/>
        </a:prstGeom>
        <a:noFill/>
        <a:ln w="9525">
          <a:noFill/>
          <a:miter lim="800000"/>
          <a:headEnd/>
          <a:tailEnd/>
        </a:ln>
      </xdr:spPr>
    </xdr:pic>
    <xdr:clientData/>
  </xdr:oneCellAnchor>
  <xdr:twoCellAnchor editAs="oneCell">
    <xdr:from>
      <xdr:col>1</xdr:col>
      <xdr:colOff>403412</xdr:colOff>
      <xdr:row>63</xdr:row>
      <xdr:rowOff>44824</xdr:rowOff>
    </xdr:from>
    <xdr:to>
      <xdr:col>1</xdr:col>
      <xdr:colOff>546269</xdr:colOff>
      <xdr:row>63</xdr:row>
      <xdr:rowOff>254348</xdr:rowOff>
    </xdr:to>
    <xdr:pic>
      <xdr:nvPicPr>
        <xdr:cNvPr id="4" name="Picture 3">
          <a:extLst>
            <a:ext uri="{FF2B5EF4-FFF2-40B4-BE49-F238E27FC236}">
              <a16:creationId xmlns:a16="http://schemas.microsoft.com/office/drawing/2014/main" id="{E497C229-BB89-42EE-A905-3051650AFB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9162" y="8407774"/>
          <a:ext cx="142857" cy="209524"/>
        </a:xfrm>
        <a:prstGeom prst="rect">
          <a:avLst/>
        </a:prstGeom>
      </xdr:spPr>
    </xdr:pic>
    <xdr:clientData/>
  </xdr:twoCellAnchor>
  <xdr:twoCellAnchor editAs="oneCell">
    <xdr:from>
      <xdr:col>2</xdr:col>
      <xdr:colOff>463764</xdr:colOff>
      <xdr:row>63</xdr:row>
      <xdr:rowOff>49147</xdr:rowOff>
    </xdr:from>
    <xdr:to>
      <xdr:col>2</xdr:col>
      <xdr:colOff>635193</xdr:colOff>
      <xdr:row>63</xdr:row>
      <xdr:rowOff>258671</xdr:rowOff>
    </xdr:to>
    <xdr:pic>
      <xdr:nvPicPr>
        <xdr:cNvPr id="5" name="Picture 4">
          <a:extLst>
            <a:ext uri="{FF2B5EF4-FFF2-40B4-BE49-F238E27FC236}">
              <a16:creationId xmlns:a16="http://schemas.microsoft.com/office/drawing/2014/main" id="{4D625A1F-A488-4338-AAB4-7CC90B02499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883114" y="8412097"/>
          <a:ext cx="171429" cy="209524"/>
        </a:xfrm>
        <a:prstGeom prst="rect">
          <a:avLst/>
        </a:prstGeom>
      </xdr:spPr>
    </xdr:pic>
    <xdr:clientData/>
  </xdr:twoCellAnchor>
  <xdr:twoCellAnchor editAs="oneCell">
    <xdr:from>
      <xdr:col>1</xdr:col>
      <xdr:colOff>403412</xdr:colOff>
      <xdr:row>114</xdr:row>
      <xdr:rowOff>22412</xdr:rowOff>
    </xdr:from>
    <xdr:to>
      <xdr:col>1</xdr:col>
      <xdr:colOff>546269</xdr:colOff>
      <xdr:row>114</xdr:row>
      <xdr:rowOff>231936</xdr:rowOff>
    </xdr:to>
    <xdr:pic>
      <xdr:nvPicPr>
        <xdr:cNvPr id="6" name="Picture 5">
          <a:extLst>
            <a:ext uri="{FF2B5EF4-FFF2-40B4-BE49-F238E27FC236}">
              <a16:creationId xmlns:a16="http://schemas.microsoft.com/office/drawing/2014/main" id="{433C58EC-4CE4-4A3F-BEDB-DBE5FEC653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9162" y="14186087"/>
          <a:ext cx="142857" cy="209524"/>
        </a:xfrm>
        <a:prstGeom prst="rect">
          <a:avLst/>
        </a:prstGeom>
      </xdr:spPr>
    </xdr:pic>
    <xdr:clientData/>
  </xdr:twoCellAnchor>
  <xdr:twoCellAnchor editAs="oneCell">
    <xdr:from>
      <xdr:col>2</xdr:col>
      <xdr:colOff>463764</xdr:colOff>
      <xdr:row>114</xdr:row>
      <xdr:rowOff>26735</xdr:rowOff>
    </xdr:from>
    <xdr:to>
      <xdr:col>2</xdr:col>
      <xdr:colOff>635193</xdr:colOff>
      <xdr:row>114</xdr:row>
      <xdr:rowOff>236259</xdr:rowOff>
    </xdr:to>
    <xdr:pic>
      <xdr:nvPicPr>
        <xdr:cNvPr id="7" name="Picture 6">
          <a:extLst>
            <a:ext uri="{FF2B5EF4-FFF2-40B4-BE49-F238E27FC236}">
              <a16:creationId xmlns:a16="http://schemas.microsoft.com/office/drawing/2014/main" id="{17DC7283-061B-4143-A4F0-18631B64926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883114" y="14190410"/>
          <a:ext cx="171429" cy="209524"/>
        </a:xfrm>
        <a:prstGeom prst="rect">
          <a:avLst/>
        </a:prstGeom>
      </xdr:spPr>
    </xdr:pic>
    <xdr:clientData/>
  </xdr:twoCellAnchor>
  <xdr:twoCellAnchor editAs="oneCell">
    <xdr:from>
      <xdr:col>1</xdr:col>
      <xdr:colOff>123265</xdr:colOff>
      <xdr:row>115</xdr:row>
      <xdr:rowOff>0</xdr:rowOff>
    </xdr:from>
    <xdr:to>
      <xdr:col>1</xdr:col>
      <xdr:colOff>266122</xdr:colOff>
      <xdr:row>115</xdr:row>
      <xdr:rowOff>209525</xdr:rowOff>
    </xdr:to>
    <xdr:pic>
      <xdr:nvPicPr>
        <xdr:cNvPr id="8" name="Picture 7">
          <a:extLst>
            <a:ext uri="{FF2B5EF4-FFF2-40B4-BE49-F238E27FC236}">
              <a16:creationId xmlns:a16="http://schemas.microsoft.com/office/drawing/2014/main" id="{DF0F7B61-501B-4DD9-B205-6AB56BC40AE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9015" y="14411325"/>
          <a:ext cx="142857" cy="209525"/>
        </a:xfrm>
        <a:prstGeom prst="rect">
          <a:avLst/>
        </a:prstGeom>
      </xdr:spPr>
    </xdr:pic>
    <xdr:clientData/>
  </xdr:twoCellAnchor>
  <xdr:twoCellAnchor editAs="oneCell">
    <xdr:from>
      <xdr:col>2</xdr:col>
      <xdr:colOff>654264</xdr:colOff>
      <xdr:row>115</xdr:row>
      <xdr:rowOff>0</xdr:rowOff>
    </xdr:from>
    <xdr:to>
      <xdr:col>2</xdr:col>
      <xdr:colOff>825693</xdr:colOff>
      <xdr:row>115</xdr:row>
      <xdr:rowOff>213848</xdr:rowOff>
    </xdr:to>
    <xdr:pic>
      <xdr:nvPicPr>
        <xdr:cNvPr id="9" name="Picture 8">
          <a:extLst>
            <a:ext uri="{FF2B5EF4-FFF2-40B4-BE49-F238E27FC236}">
              <a16:creationId xmlns:a16="http://schemas.microsoft.com/office/drawing/2014/main" id="{72C98EC9-DD5C-41A5-9E92-3FE95960DDA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073614" y="14411325"/>
          <a:ext cx="171429" cy="21384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C8E80-5639-4270-B1AA-B8A8919B0E00}">
  <sheetPr>
    <tabColor rgb="FF00B0F0"/>
    <pageSetUpPr fitToPage="1"/>
  </sheetPr>
  <dimension ref="A1:AU167"/>
  <sheetViews>
    <sheetView showGridLines="0" tabSelected="1" zoomScale="98" zoomScaleNormal="85" workbookViewId="0">
      <selection activeCell="B14" sqref="B14"/>
    </sheetView>
  </sheetViews>
  <sheetFormatPr defaultColWidth="10.28515625" defaultRowHeight="16.5" x14ac:dyDescent="0.25"/>
  <cols>
    <col min="1" max="1" width="4.28515625" style="8" customWidth="1"/>
    <col min="2" max="2" width="32" style="8" customWidth="1"/>
    <col min="3" max="3" width="14.28515625" style="8" customWidth="1"/>
    <col min="4" max="8" width="4.7109375" style="8" customWidth="1"/>
    <col min="9" max="9" width="4.7109375" style="8" hidden="1" customWidth="1"/>
    <col min="10" max="14" width="4.7109375" style="8" customWidth="1"/>
    <col min="15" max="15" width="4.7109375" style="8" hidden="1" customWidth="1"/>
    <col min="16" max="20" width="4.7109375" style="8" customWidth="1"/>
    <col min="21" max="21" width="4.7109375" style="8" hidden="1" customWidth="1"/>
    <col min="22" max="26" width="4.7109375" style="8" customWidth="1"/>
    <col min="27" max="27" width="4.7109375" style="8" hidden="1" customWidth="1"/>
    <col min="28" max="32" width="4.7109375" style="8" customWidth="1"/>
    <col min="33" max="39" width="4.7109375" style="8" hidden="1" customWidth="1"/>
    <col min="40" max="41" width="9.7109375" style="8" customWidth="1"/>
    <col min="42" max="42" width="9" style="8" customWidth="1"/>
    <col min="43" max="43" width="7" style="8" customWidth="1"/>
    <col min="44" max="44" width="6.5703125" style="8" customWidth="1"/>
    <col min="45" max="46" width="9.42578125" style="8" customWidth="1"/>
    <col min="47" max="47" width="9.85546875" style="8" customWidth="1"/>
    <col min="48" max="48" width="10.28515625" style="8" customWidth="1"/>
    <col min="49" max="16384" width="10.28515625" style="8"/>
  </cols>
  <sheetData>
    <row r="1" spans="1:47" ht="20.100000000000001" customHeight="1" x14ac:dyDescent="0.3">
      <c r="A1" s="4"/>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6"/>
      <c r="AQ1" s="7"/>
      <c r="AR1" s="7"/>
      <c r="AS1" s="7"/>
      <c r="AT1" s="7"/>
      <c r="AU1" s="7"/>
    </row>
    <row r="2" spans="1:47" ht="20.100000000000001" customHeight="1" x14ac:dyDescent="0.25">
      <c r="A2" s="136" t="s">
        <v>4</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row>
    <row r="3" spans="1:47" ht="20.100000000000001" customHeight="1" x14ac:dyDescent="0.25">
      <c r="A3" s="137" t="s">
        <v>5</v>
      </c>
      <c r="B3" s="137"/>
      <c r="C3" s="137"/>
      <c r="D3" s="137"/>
      <c r="E3" s="137"/>
      <c r="F3" s="137"/>
      <c r="G3" s="137"/>
      <c r="H3" s="137"/>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c r="AR3" s="137"/>
      <c r="AS3" s="137"/>
      <c r="AT3" s="137"/>
      <c r="AU3" s="137"/>
    </row>
    <row r="4" spans="1:47" ht="20.100000000000001" customHeight="1" x14ac:dyDescent="0.25">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row>
    <row r="5" spans="1:47" ht="20.100000000000001" customHeigh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row>
    <row r="6" spans="1:47" ht="20.100000000000001" customHeight="1" x14ac:dyDescent="0.25">
      <c r="A6" s="9"/>
      <c r="B6" s="44" t="s">
        <v>0</v>
      </c>
      <c r="C6" s="138">
        <v>301871</v>
      </c>
      <c r="D6" s="139"/>
      <c r="E6" s="140"/>
      <c r="F6" s="46"/>
      <c r="G6" s="46"/>
      <c r="H6" s="46" t="s">
        <v>1</v>
      </c>
      <c r="I6" s="46"/>
      <c r="J6" s="46"/>
      <c r="K6" s="46"/>
      <c r="L6" s="141" t="s">
        <v>86</v>
      </c>
      <c r="M6" s="139"/>
      <c r="N6" s="139"/>
      <c r="O6" s="139"/>
      <c r="P6" s="139"/>
      <c r="Q6" s="140"/>
      <c r="R6" s="46"/>
      <c r="S6" s="142" t="s">
        <v>6</v>
      </c>
      <c r="T6" s="142"/>
      <c r="U6" s="142"/>
      <c r="V6" s="142"/>
      <c r="W6" s="142"/>
      <c r="X6" s="142"/>
      <c r="Y6" s="142"/>
      <c r="Z6" s="143"/>
      <c r="AA6" s="44"/>
      <c r="AB6" s="144" t="s">
        <v>91</v>
      </c>
      <c r="AC6" s="144"/>
      <c r="AD6" s="144"/>
      <c r="AE6" s="144"/>
      <c r="AF6" s="144"/>
      <c r="AG6" s="144"/>
      <c r="AH6" s="144"/>
      <c r="AI6" s="144"/>
      <c r="AJ6" s="144"/>
      <c r="AK6" s="144"/>
      <c r="AL6" s="144"/>
      <c r="AM6" s="144"/>
      <c r="AN6" s="144"/>
      <c r="AO6" s="46"/>
      <c r="AP6" s="46"/>
      <c r="AQ6" s="46"/>
      <c r="AR6" s="46"/>
      <c r="AS6" s="46"/>
      <c r="AT6" s="9"/>
      <c r="AU6" s="9"/>
    </row>
    <row r="7" spans="1:47" ht="20.100000000000001" customHeight="1" x14ac:dyDescent="0.25">
      <c r="A7" s="9"/>
      <c r="B7" s="44"/>
      <c r="C7" s="46"/>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9"/>
      <c r="AU7" s="9"/>
    </row>
    <row r="8" spans="1:47" ht="20.100000000000001" customHeight="1" x14ac:dyDescent="0.25">
      <c r="A8" s="10"/>
      <c r="B8" s="44" t="s">
        <v>7</v>
      </c>
      <c r="C8" s="138" t="s">
        <v>87</v>
      </c>
      <c r="D8" s="139"/>
      <c r="E8" s="139"/>
      <c r="F8" s="139"/>
      <c r="G8" s="139"/>
      <c r="H8" s="139"/>
      <c r="I8" s="139"/>
      <c r="J8" s="139"/>
      <c r="K8" s="139"/>
      <c r="L8" s="139"/>
      <c r="M8" s="139"/>
      <c r="N8" s="139"/>
      <c r="O8" s="139"/>
      <c r="P8" s="139"/>
      <c r="Q8" s="140"/>
      <c r="R8" s="45"/>
      <c r="S8" s="45"/>
      <c r="T8" s="45"/>
      <c r="U8" s="45"/>
      <c r="V8" s="45"/>
      <c r="W8" s="142" t="s">
        <v>2</v>
      </c>
      <c r="X8" s="142"/>
      <c r="Y8" s="142"/>
      <c r="Z8" s="143"/>
      <c r="AA8" s="44"/>
      <c r="AB8" s="138">
        <v>12</v>
      </c>
      <c r="AC8" s="140"/>
      <c r="AD8" s="145" t="s">
        <v>3</v>
      </c>
      <c r="AE8" s="142"/>
      <c r="AF8" s="143"/>
      <c r="AG8" s="111"/>
      <c r="AH8" s="146" t="s">
        <v>88</v>
      </c>
      <c r="AI8" s="146"/>
      <c r="AJ8" s="146"/>
      <c r="AK8" s="146"/>
      <c r="AL8" s="146"/>
      <c r="AM8" s="146"/>
      <c r="AN8" s="146"/>
      <c r="AO8" s="146"/>
      <c r="AP8" s="146"/>
      <c r="AQ8" s="146"/>
      <c r="AR8" s="146"/>
      <c r="AS8" s="146"/>
      <c r="AT8" s="10"/>
      <c r="AU8" s="10"/>
    </row>
    <row r="9" spans="1:47" ht="20.100000000000001" customHeight="1" thickBot="1" x14ac:dyDescent="0.3"/>
    <row r="10" spans="1:47" ht="20.100000000000001" customHeight="1" thickBot="1" x14ac:dyDescent="0.3">
      <c r="A10" s="150" t="s">
        <v>8</v>
      </c>
      <c r="B10" s="151"/>
      <c r="C10" s="152"/>
      <c r="D10" s="157" t="s">
        <v>9</v>
      </c>
      <c r="E10" s="158"/>
      <c r="F10" s="158"/>
      <c r="G10" s="158"/>
      <c r="H10" s="158"/>
      <c r="I10" s="158"/>
      <c r="J10" s="158"/>
      <c r="K10" s="158"/>
      <c r="L10" s="158"/>
      <c r="M10" s="158"/>
      <c r="N10" s="158"/>
      <c r="O10" s="158"/>
      <c r="P10" s="158"/>
      <c r="Q10" s="158"/>
      <c r="R10" s="158"/>
      <c r="S10" s="158"/>
      <c r="T10" s="158"/>
      <c r="U10" s="158"/>
      <c r="V10" s="158"/>
      <c r="W10" s="158"/>
      <c r="X10" s="158"/>
      <c r="Y10" s="158"/>
      <c r="Z10" s="158"/>
      <c r="AA10" s="158"/>
      <c r="AB10" s="158"/>
      <c r="AC10" s="158"/>
      <c r="AD10" s="158"/>
      <c r="AE10" s="158"/>
      <c r="AF10" s="158"/>
      <c r="AG10" s="158"/>
      <c r="AH10" s="158"/>
      <c r="AI10" s="158"/>
      <c r="AJ10" s="158"/>
      <c r="AK10" s="158"/>
      <c r="AL10" s="159"/>
      <c r="AM10" s="126"/>
      <c r="AN10" s="160" t="s">
        <v>10</v>
      </c>
      <c r="AO10" s="161"/>
      <c r="AP10" s="164" t="s">
        <v>11</v>
      </c>
      <c r="AQ10" s="165"/>
      <c r="AR10" s="165"/>
      <c r="AS10" s="165"/>
      <c r="AT10" s="165"/>
      <c r="AU10" s="166"/>
    </row>
    <row r="11" spans="1:47" ht="20.100000000000001" customHeight="1" thickBot="1" x14ac:dyDescent="0.3">
      <c r="A11" s="153"/>
      <c r="B11" s="154"/>
      <c r="C11" s="154"/>
      <c r="D11" s="51"/>
      <c r="E11" s="52"/>
      <c r="F11" s="52"/>
      <c r="G11" s="52"/>
      <c r="H11" s="54"/>
      <c r="I11" s="51"/>
      <c r="J11" s="51"/>
      <c r="K11" s="52"/>
      <c r="L11" s="52"/>
      <c r="M11" s="52"/>
      <c r="N11" s="52"/>
      <c r="O11" s="51"/>
      <c r="P11" s="51"/>
      <c r="Q11" s="52"/>
      <c r="R11" s="52"/>
      <c r="S11" s="52"/>
      <c r="T11" s="53"/>
      <c r="U11" s="51"/>
      <c r="V11" s="51"/>
      <c r="W11" s="52"/>
      <c r="X11" s="52"/>
      <c r="Y11" s="52"/>
      <c r="Z11" s="52"/>
      <c r="AA11" s="51"/>
      <c r="AB11" s="51"/>
      <c r="AC11" s="52"/>
      <c r="AD11" s="52"/>
      <c r="AE11" s="52"/>
      <c r="AF11" s="53"/>
      <c r="AG11" s="122"/>
      <c r="AH11" s="51"/>
      <c r="AI11" s="52"/>
      <c r="AJ11" s="52"/>
      <c r="AK11" s="52"/>
      <c r="AL11" s="53"/>
      <c r="AM11" s="127"/>
      <c r="AN11" s="162"/>
      <c r="AO11" s="163"/>
      <c r="AP11" s="167"/>
      <c r="AQ11" s="168"/>
      <c r="AR11" s="168"/>
      <c r="AS11" s="168"/>
      <c r="AT11" s="168"/>
      <c r="AU11" s="169"/>
    </row>
    <row r="12" spans="1:47" ht="24.75" customHeight="1" x14ac:dyDescent="0.25">
      <c r="A12" s="153"/>
      <c r="B12" s="154"/>
      <c r="C12" s="154"/>
      <c r="D12" s="131" t="str">
        <f>IF(D11="","","MON")</f>
        <v/>
      </c>
      <c r="E12" s="132" t="str">
        <f>IF(E11="","","TUE")</f>
        <v/>
      </c>
      <c r="F12" s="132" t="str">
        <f>IF(F11="","","WED")</f>
        <v/>
      </c>
      <c r="G12" s="132" t="str">
        <f>IF(G11="","","THU")</f>
        <v/>
      </c>
      <c r="H12" s="133" t="str">
        <f>IF(H11="","","FRI")</f>
        <v/>
      </c>
      <c r="I12" s="134" t="str">
        <f>IF(I11="","","SAT")</f>
        <v/>
      </c>
      <c r="J12" s="134" t="str">
        <f>IF(J11="","","MON")</f>
        <v/>
      </c>
      <c r="K12" s="132" t="str">
        <f>IF(K11="","","TUE")</f>
        <v/>
      </c>
      <c r="L12" s="132" t="str">
        <f>IF(L11="","","WED")</f>
        <v/>
      </c>
      <c r="M12" s="132" t="str">
        <f>IF(M11="","","THU")</f>
        <v/>
      </c>
      <c r="N12" s="135" t="str">
        <f>IF(N11="","","FRI")</f>
        <v/>
      </c>
      <c r="O12" s="134" t="str">
        <f>IF(O11="","","SAT")</f>
        <v/>
      </c>
      <c r="P12" s="131" t="str">
        <f>IF(P11="","","MON")</f>
        <v/>
      </c>
      <c r="Q12" s="132" t="str">
        <f>IF(Q11="","","TUE")</f>
        <v/>
      </c>
      <c r="R12" s="132" t="str">
        <f>IF(R11="","","WED")</f>
        <v/>
      </c>
      <c r="S12" s="132" t="str">
        <f>IF(S11="","","THU")</f>
        <v/>
      </c>
      <c r="T12" s="135" t="str">
        <f>IF(T11="","","FRI")</f>
        <v/>
      </c>
      <c r="U12" s="134" t="str">
        <f>IF(U11="","","SAT")</f>
        <v/>
      </c>
      <c r="V12" s="131" t="str">
        <f>IF(V11="","","MON")</f>
        <v/>
      </c>
      <c r="W12" s="132" t="str">
        <f>IF(W11="","","TUE")</f>
        <v/>
      </c>
      <c r="X12" s="132" t="str">
        <f>IF(X11="","","WED")</f>
        <v/>
      </c>
      <c r="Y12" s="132" t="str">
        <f>IF(Y11="","","THU")</f>
        <v/>
      </c>
      <c r="Z12" s="135" t="str">
        <f>IF(Z11="","","FRI")</f>
        <v/>
      </c>
      <c r="AA12" s="134" t="str">
        <f>IF(AA11="","","SAT")</f>
        <v/>
      </c>
      <c r="AB12" s="131" t="str">
        <f>IF(AB11="","","MON")</f>
        <v/>
      </c>
      <c r="AC12" s="132" t="str">
        <f>IF(AC11="","","TUE")</f>
        <v/>
      </c>
      <c r="AD12" s="132" t="str">
        <f>IF(AD11="","","WED")</f>
        <v/>
      </c>
      <c r="AE12" s="132" t="str">
        <f>IF(AE11="","","THU")</f>
        <v/>
      </c>
      <c r="AF12" s="135" t="str">
        <f>IF(AF11="","","FRI")</f>
        <v/>
      </c>
      <c r="AG12" s="123" t="str">
        <f>IF(AG11="","","SAT")</f>
        <v/>
      </c>
      <c r="AH12" s="55" t="str">
        <f>IF(AH11="","","MON")</f>
        <v/>
      </c>
      <c r="AI12" s="56" t="str">
        <f>IF(AI11="","","TUE")</f>
        <v/>
      </c>
      <c r="AJ12" s="56" t="str">
        <f>IF(AJ11="","","WED")</f>
        <v/>
      </c>
      <c r="AK12" s="56" t="str">
        <f>IF(AK11="","","THU")</f>
        <v/>
      </c>
      <c r="AL12" s="57" t="str">
        <f>IF(AL11="","","FRI")</f>
        <v/>
      </c>
      <c r="AM12" s="128" t="str">
        <f>IF(AM11="","","SAT")</f>
        <v/>
      </c>
      <c r="AN12" s="173" t="s">
        <v>12</v>
      </c>
      <c r="AO12" s="173" t="s">
        <v>90</v>
      </c>
      <c r="AP12" s="167"/>
      <c r="AQ12" s="168"/>
      <c r="AR12" s="168"/>
      <c r="AS12" s="168"/>
      <c r="AT12" s="168"/>
      <c r="AU12" s="169"/>
    </row>
    <row r="13" spans="1:47" ht="6" customHeight="1" thickBot="1" x14ac:dyDescent="0.3">
      <c r="A13" s="155"/>
      <c r="B13" s="156"/>
      <c r="C13" s="156"/>
      <c r="D13" s="47"/>
      <c r="E13" s="1"/>
      <c r="F13" s="1"/>
      <c r="G13" s="1"/>
      <c r="H13" s="83"/>
      <c r="I13" s="84"/>
      <c r="J13" s="84"/>
      <c r="K13" s="1"/>
      <c r="L13" s="1"/>
      <c r="M13" s="1"/>
      <c r="N13" s="1"/>
      <c r="O13" s="84"/>
      <c r="P13" s="47"/>
      <c r="Q13" s="1"/>
      <c r="R13" s="1"/>
      <c r="S13" s="1"/>
      <c r="T13" s="1"/>
      <c r="U13" s="84"/>
      <c r="V13" s="47"/>
      <c r="W13" s="1"/>
      <c r="X13" s="1"/>
      <c r="Y13" s="1"/>
      <c r="Z13" s="2"/>
      <c r="AA13" s="84"/>
      <c r="AB13" s="47"/>
      <c r="AC13" s="1"/>
      <c r="AD13" s="1"/>
      <c r="AE13" s="1"/>
      <c r="AF13" s="2"/>
      <c r="AG13" s="124"/>
      <c r="AH13" s="47"/>
      <c r="AI13" s="1"/>
      <c r="AJ13" s="1"/>
      <c r="AK13" s="1"/>
      <c r="AL13" s="2"/>
      <c r="AM13" s="129"/>
      <c r="AN13" s="174"/>
      <c r="AO13" s="174"/>
      <c r="AP13" s="170"/>
      <c r="AQ13" s="171"/>
      <c r="AR13" s="171"/>
      <c r="AS13" s="171"/>
      <c r="AT13" s="171"/>
      <c r="AU13" s="172"/>
    </row>
    <row r="14" spans="1:47" ht="22.15" customHeight="1" x14ac:dyDescent="0.25">
      <c r="A14" s="116">
        <v>1</v>
      </c>
      <c r="B14" s="281"/>
      <c r="C14" s="282"/>
      <c r="D14" s="64"/>
      <c r="E14" s="65"/>
      <c r="F14" s="66"/>
      <c r="G14" s="66"/>
      <c r="H14" s="67"/>
      <c r="I14" s="114"/>
      <c r="J14" s="68"/>
      <c r="K14" s="66"/>
      <c r="L14" s="66"/>
      <c r="M14" s="66"/>
      <c r="N14" s="67"/>
      <c r="O14" s="114"/>
      <c r="P14" s="68"/>
      <c r="Q14" s="66"/>
      <c r="R14" s="66"/>
      <c r="S14" s="66"/>
      <c r="T14" s="67"/>
      <c r="U14" s="114"/>
      <c r="V14" s="68"/>
      <c r="W14" s="66"/>
      <c r="X14" s="66"/>
      <c r="Y14" s="66"/>
      <c r="Z14" s="67"/>
      <c r="AA14" s="114"/>
      <c r="AB14" s="68"/>
      <c r="AC14" s="66"/>
      <c r="AD14" s="66"/>
      <c r="AE14" s="66"/>
      <c r="AF14" s="67"/>
      <c r="AG14" s="114"/>
      <c r="AH14" s="68"/>
      <c r="AI14" s="66"/>
      <c r="AJ14" s="66"/>
      <c r="AK14" s="66"/>
      <c r="AL14" s="67"/>
      <c r="AM14" s="110"/>
      <c r="AN14" s="79" t="str">
        <f t="shared" ref="AN14:AN32" si="0">IF((COUNTIF(D14:AL14, "x") + COUNTIF(D14:AL14, "◢"))=0, "", COUNTIF(D14:AL14, "x") + COUNTIF(D14:AL14, "◢"))</f>
        <v/>
      </c>
      <c r="AO14" s="79" t="str" cm="1">
        <f t="array" ref="AO14">IF(LEN(TRIM(B14))=0, "", COUNTA($D$11:$AL$11) - SUM(COUNTIF(D14:AL14, {"x","◢"})))</f>
        <v/>
      </c>
      <c r="AP14" s="147"/>
      <c r="AQ14" s="148"/>
      <c r="AR14" s="148"/>
      <c r="AS14" s="148"/>
      <c r="AT14" s="148"/>
      <c r="AU14" s="149"/>
    </row>
    <row r="15" spans="1:47" ht="22.15" customHeight="1" x14ac:dyDescent="0.25">
      <c r="A15" s="116">
        <v>2</v>
      </c>
      <c r="B15" s="281"/>
      <c r="C15" s="282"/>
      <c r="D15" s="69"/>
      <c r="E15" s="70"/>
      <c r="F15" s="71"/>
      <c r="G15" s="71"/>
      <c r="H15" s="72"/>
      <c r="I15" s="115"/>
      <c r="J15" s="73"/>
      <c r="K15" s="71"/>
      <c r="L15" s="71"/>
      <c r="M15" s="71"/>
      <c r="N15" s="72"/>
      <c r="O15" s="115"/>
      <c r="P15" s="73"/>
      <c r="Q15" s="71"/>
      <c r="R15" s="71"/>
      <c r="S15" s="71"/>
      <c r="T15" s="72"/>
      <c r="U15" s="115"/>
      <c r="V15" s="73"/>
      <c r="W15" s="71"/>
      <c r="X15" s="71"/>
      <c r="Y15" s="71"/>
      <c r="Z15" s="72"/>
      <c r="AA15" s="115"/>
      <c r="AB15" s="73"/>
      <c r="AC15" s="71"/>
      <c r="AD15" s="71"/>
      <c r="AE15" s="71"/>
      <c r="AF15" s="72"/>
      <c r="AG15" s="118"/>
      <c r="AH15" s="73"/>
      <c r="AI15" s="71"/>
      <c r="AJ15" s="71"/>
      <c r="AK15" s="71"/>
      <c r="AL15" s="72"/>
      <c r="AM15" s="110"/>
      <c r="AN15" s="79" t="str">
        <f t="shared" si="0"/>
        <v/>
      </c>
      <c r="AO15" s="80" t="str" cm="1">
        <f t="array" ref="AO15">IF(LEN(TRIM(B15))=0, "", COUNTA($D$11:$AL$11) - SUM(COUNTIF(D15:AL15, {"x","◢"})))</f>
        <v/>
      </c>
      <c r="AP15" s="147"/>
      <c r="AQ15" s="148"/>
      <c r="AR15" s="148"/>
      <c r="AS15" s="148"/>
      <c r="AT15" s="148"/>
      <c r="AU15" s="149"/>
    </row>
    <row r="16" spans="1:47" ht="22.15" customHeight="1" x14ac:dyDescent="0.25">
      <c r="A16" s="116">
        <v>3</v>
      </c>
      <c r="B16" s="281"/>
      <c r="C16" s="282"/>
      <c r="D16" s="69"/>
      <c r="E16" s="70"/>
      <c r="F16" s="71"/>
      <c r="G16" s="71"/>
      <c r="H16" s="72"/>
      <c r="I16" s="115"/>
      <c r="J16" s="73"/>
      <c r="K16" s="71"/>
      <c r="L16" s="71"/>
      <c r="M16" s="71"/>
      <c r="N16" s="72"/>
      <c r="O16" s="115"/>
      <c r="P16" s="73"/>
      <c r="Q16" s="71"/>
      <c r="R16" s="71"/>
      <c r="S16" s="71"/>
      <c r="T16" s="72"/>
      <c r="U16" s="115"/>
      <c r="V16" s="73"/>
      <c r="W16" s="71"/>
      <c r="X16" s="71"/>
      <c r="Y16" s="71"/>
      <c r="Z16" s="72"/>
      <c r="AA16" s="115"/>
      <c r="AB16" s="73"/>
      <c r="AC16" s="71"/>
      <c r="AD16" s="71"/>
      <c r="AE16" s="71"/>
      <c r="AF16" s="72"/>
      <c r="AG16" s="118"/>
      <c r="AH16" s="73"/>
      <c r="AI16" s="71"/>
      <c r="AJ16" s="71"/>
      <c r="AK16" s="71"/>
      <c r="AL16" s="72"/>
      <c r="AM16" s="110"/>
      <c r="AN16" s="79" t="str">
        <f t="shared" si="0"/>
        <v/>
      </c>
      <c r="AO16" s="80" t="str" cm="1">
        <f t="array" ref="AO16">IF(LEN(TRIM(B16))=0, "", COUNTA($D$11:$AL$11) - SUM(COUNTIF(D16:AL16, {"x","◢"})))</f>
        <v/>
      </c>
      <c r="AP16" s="147"/>
      <c r="AQ16" s="148"/>
      <c r="AR16" s="148"/>
      <c r="AS16" s="148"/>
      <c r="AT16" s="148"/>
      <c r="AU16" s="149"/>
    </row>
    <row r="17" spans="1:47" ht="22.15" customHeight="1" x14ac:dyDescent="0.25">
      <c r="A17" s="116">
        <v>4</v>
      </c>
      <c r="B17" s="281"/>
      <c r="C17" s="282"/>
      <c r="D17" s="69"/>
      <c r="E17" s="70"/>
      <c r="F17" s="71"/>
      <c r="G17" s="71"/>
      <c r="H17" s="72"/>
      <c r="I17" s="115"/>
      <c r="J17" s="73"/>
      <c r="K17" s="71"/>
      <c r="L17" s="71"/>
      <c r="M17" s="71"/>
      <c r="N17" s="72"/>
      <c r="O17" s="115"/>
      <c r="P17" s="73"/>
      <c r="Q17" s="71"/>
      <c r="R17" s="71"/>
      <c r="S17" s="71"/>
      <c r="T17" s="72"/>
      <c r="U17" s="115"/>
      <c r="V17" s="73"/>
      <c r="W17" s="71"/>
      <c r="X17" s="71"/>
      <c r="Y17" s="71"/>
      <c r="Z17" s="72"/>
      <c r="AA17" s="115"/>
      <c r="AB17" s="73"/>
      <c r="AC17" s="71"/>
      <c r="AD17" s="71"/>
      <c r="AE17" s="71"/>
      <c r="AF17" s="72"/>
      <c r="AG17" s="118"/>
      <c r="AH17" s="73"/>
      <c r="AI17" s="71"/>
      <c r="AJ17" s="71"/>
      <c r="AK17" s="71"/>
      <c r="AL17" s="72"/>
      <c r="AM17" s="110"/>
      <c r="AN17" s="79" t="str">
        <f t="shared" si="0"/>
        <v/>
      </c>
      <c r="AO17" s="80" t="str" cm="1">
        <f t="array" ref="AO17">IF(LEN(TRIM(B17))=0, "", COUNTA($D$11:$AL$11) - SUM(COUNTIF(D17:AL17, {"x","◢"})))</f>
        <v/>
      </c>
      <c r="AP17" s="147"/>
      <c r="AQ17" s="148"/>
      <c r="AR17" s="148"/>
      <c r="AS17" s="148"/>
      <c r="AT17" s="148"/>
      <c r="AU17" s="149"/>
    </row>
    <row r="18" spans="1:47" ht="22.15" customHeight="1" x14ac:dyDescent="0.25">
      <c r="A18" s="116">
        <v>5</v>
      </c>
      <c r="B18" s="281"/>
      <c r="C18" s="282"/>
      <c r="D18" s="69"/>
      <c r="E18" s="70"/>
      <c r="F18" s="71"/>
      <c r="G18" s="71"/>
      <c r="H18" s="72"/>
      <c r="I18" s="115"/>
      <c r="J18" s="73"/>
      <c r="K18" s="71"/>
      <c r="L18" s="71"/>
      <c r="M18" s="71"/>
      <c r="N18" s="72"/>
      <c r="O18" s="115"/>
      <c r="P18" s="73"/>
      <c r="Q18" s="71"/>
      <c r="R18" s="71"/>
      <c r="S18" s="71"/>
      <c r="T18" s="72"/>
      <c r="U18" s="115"/>
      <c r="V18" s="73"/>
      <c r="W18" s="71"/>
      <c r="X18" s="71"/>
      <c r="Y18" s="71"/>
      <c r="Z18" s="72"/>
      <c r="AA18" s="115"/>
      <c r="AB18" s="73"/>
      <c r="AC18" s="71"/>
      <c r="AD18" s="71"/>
      <c r="AE18" s="71"/>
      <c r="AF18" s="72"/>
      <c r="AG18" s="118"/>
      <c r="AH18" s="73"/>
      <c r="AI18" s="71"/>
      <c r="AJ18" s="71"/>
      <c r="AK18" s="71"/>
      <c r="AL18" s="72"/>
      <c r="AM18" s="110"/>
      <c r="AN18" s="79" t="str">
        <f t="shared" si="0"/>
        <v/>
      </c>
      <c r="AO18" s="80" t="str" cm="1">
        <f t="array" ref="AO18">IF(LEN(TRIM(B18))=0, "", COUNTA($D$11:$AL$11) - SUM(COUNTIF(D18:AL18, {"x","◢"})))</f>
        <v/>
      </c>
      <c r="AP18" s="147"/>
      <c r="AQ18" s="148"/>
      <c r="AR18" s="148"/>
      <c r="AS18" s="148"/>
      <c r="AT18" s="148"/>
      <c r="AU18" s="149"/>
    </row>
    <row r="19" spans="1:47" ht="22.15" customHeight="1" x14ac:dyDescent="0.25">
      <c r="A19" s="116">
        <v>6</v>
      </c>
      <c r="B19" s="281"/>
      <c r="C19" s="282"/>
      <c r="D19" s="69"/>
      <c r="E19" s="70"/>
      <c r="F19" s="71"/>
      <c r="G19" s="71"/>
      <c r="H19" s="72"/>
      <c r="I19" s="115"/>
      <c r="J19" s="73"/>
      <c r="K19" s="71"/>
      <c r="L19" s="71"/>
      <c r="M19" s="71"/>
      <c r="N19" s="72"/>
      <c r="O19" s="115"/>
      <c r="P19" s="73"/>
      <c r="Q19" s="71"/>
      <c r="R19" s="71"/>
      <c r="S19" s="71"/>
      <c r="T19" s="72"/>
      <c r="U19" s="115"/>
      <c r="V19" s="73"/>
      <c r="W19" s="71"/>
      <c r="X19" s="71"/>
      <c r="Y19" s="71"/>
      <c r="Z19" s="72"/>
      <c r="AA19" s="115"/>
      <c r="AB19" s="73"/>
      <c r="AC19" s="71"/>
      <c r="AD19" s="71"/>
      <c r="AE19" s="71"/>
      <c r="AF19" s="72"/>
      <c r="AG19" s="118"/>
      <c r="AH19" s="73"/>
      <c r="AI19" s="71"/>
      <c r="AJ19" s="71"/>
      <c r="AK19" s="71"/>
      <c r="AL19" s="72"/>
      <c r="AM19" s="110"/>
      <c r="AN19" s="79" t="str">
        <f t="shared" si="0"/>
        <v/>
      </c>
      <c r="AO19" s="80" t="str" cm="1">
        <f t="array" ref="AO19">IF(LEN(TRIM(B19))=0, "", COUNTA($D$11:$AL$11) - SUM(COUNTIF(D19:AL19, {"x","◢"})))</f>
        <v/>
      </c>
      <c r="AP19" s="147"/>
      <c r="AQ19" s="148"/>
      <c r="AR19" s="148"/>
      <c r="AS19" s="148"/>
      <c r="AT19" s="148"/>
      <c r="AU19" s="149"/>
    </row>
    <row r="20" spans="1:47" ht="22.15" customHeight="1" x14ac:dyDescent="0.25">
      <c r="A20" s="116">
        <v>7</v>
      </c>
      <c r="B20" s="281"/>
      <c r="C20" s="282"/>
      <c r="D20" s="69"/>
      <c r="E20" s="70"/>
      <c r="F20" s="71"/>
      <c r="G20" s="71"/>
      <c r="H20" s="72"/>
      <c r="I20" s="115"/>
      <c r="J20" s="73"/>
      <c r="K20" s="71"/>
      <c r="L20" s="71"/>
      <c r="M20" s="71"/>
      <c r="N20" s="72"/>
      <c r="O20" s="115"/>
      <c r="P20" s="73"/>
      <c r="Q20" s="71"/>
      <c r="R20" s="71"/>
      <c r="S20" s="71"/>
      <c r="T20" s="72"/>
      <c r="U20" s="115"/>
      <c r="V20" s="73"/>
      <c r="W20" s="71"/>
      <c r="X20" s="71"/>
      <c r="Y20" s="71"/>
      <c r="Z20" s="72"/>
      <c r="AA20" s="115"/>
      <c r="AB20" s="73"/>
      <c r="AC20" s="71"/>
      <c r="AD20" s="71"/>
      <c r="AE20" s="71"/>
      <c r="AF20" s="72"/>
      <c r="AG20" s="118"/>
      <c r="AH20" s="73"/>
      <c r="AI20" s="71"/>
      <c r="AJ20" s="71"/>
      <c r="AK20" s="71"/>
      <c r="AL20" s="72"/>
      <c r="AM20" s="110"/>
      <c r="AN20" s="79" t="str">
        <f t="shared" si="0"/>
        <v/>
      </c>
      <c r="AO20" s="80" t="str" cm="1">
        <f t="array" ref="AO20">IF(LEN(TRIM(B20))=0, "", COUNTA($D$11:$AL$11) - SUM(COUNTIF(D20:AL20, {"x","◢"})))</f>
        <v/>
      </c>
      <c r="AP20" s="147"/>
      <c r="AQ20" s="148"/>
      <c r="AR20" s="148"/>
      <c r="AS20" s="148"/>
      <c r="AT20" s="148"/>
      <c r="AU20" s="149"/>
    </row>
    <row r="21" spans="1:47" ht="22.15" customHeight="1" x14ac:dyDescent="0.25">
      <c r="A21" s="116">
        <v>8</v>
      </c>
      <c r="B21" s="281"/>
      <c r="C21" s="282"/>
      <c r="D21" s="69"/>
      <c r="E21" s="70"/>
      <c r="F21" s="71"/>
      <c r="G21" s="71"/>
      <c r="H21" s="72"/>
      <c r="I21" s="115"/>
      <c r="J21" s="73"/>
      <c r="K21" s="71"/>
      <c r="L21" s="71"/>
      <c r="M21" s="71"/>
      <c r="N21" s="72"/>
      <c r="O21" s="115"/>
      <c r="P21" s="73"/>
      <c r="Q21" s="71"/>
      <c r="R21" s="71"/>
      <c r="S21" s="71"/>
      <c r="T21" s="72"/>
      <c r="U21" s="115"/>
      <c r="V21" s="73"/>
      <c r="W21" s="71"/>
      <c r="X21" s="71"/>
      <c r="Y21" s="71"/>
      <c r="Z21" s="72"/>
      <c r="AA21" s="115"/>
      <c r="AB21" s="73"/>
      <c r="AC21" s="71"/>
      <c r="AD21" s="71"/>
      <c r="AE21" s="71"/>
      <c r="AF21" s="72"/>
      <c r="AG21" s="118"/>
      <c r="AH21" s="73"/>
      <c r="AI21" s="71"/>
      <c r="AJ21" s="71"/>
      <c r="AK21" s="71"/>
      <c r="AL21" s="72"/>
      <c r="AM21" s="110"/>
      <c r="AN21" s="79" t="str">
        <f t="shared" si="0"/>
        <v/>
      </c>
      <c r="AO21" s="80" t="str" cm="1">
        <f t="array" ref="AO21">IF(LEN(TRIM(B21))=0, "", COUNTA($D$11:$AL$11) - SUM(COUNTIF(D21:AL21, {"x","◢"})))</f>
        <v/>
      </c>
      <c r="AP21" s="147"/>
      <c r="AQ21" s="148"/>
      <c r="AR21" s="148"/>
      <c r="AS21" s="148"/>
      <c r="AT21" s="148"/>
      <c r="AU21" s="149"/>
    </row>
    <row r="22" spans="1:47" ht="22.15" customHeight="1" x14ac:dyDescent="0.25">
      <c r="A22" s="116">
        <v>9</v>
      </c>
      <c r="B22" s="281"/>
      <c r="C22" s="282"/>
      <c r="D22" s="69"/>
      <c r="E22" s="70"/>
      <c r="F22" s="71"/>
      <c r="G22" s="71"/>
      <c r="H22" s="72"/>
      <c r="I22" s="115"/>
      <c r="J22" s="73"/>
      <c r="K22" s="71"/>
      <c r="L22" s="71"/>
      <c r="M22" s="71"/>
      <c r="N22" s="72"/>
      <c r="O22" s="115"/>
      <c r="P22" s="73"/>
      <c r="Q22" s="71"/>
      <c r="R22" s="71"/>
      <c r="S22" s="71"/>
      <c r="T22" s="72"/>
      <c r="U22" s="115"/>
      <c r="V22" s="73"/>
      <c r="W22" s="71"/>
      <c r="X22" s="71"/>
      <c r="Y22" s="71"/>
      <c r="Z22" s="72"/>
      <c r="AA22" s="115"/>
      <c r="AB22" s="73"/>
      <c r="AC22" s="71"/>
      <c r="AD22" s="71"/>
      <c r="AE22" s="71"/>
      <c r="AF22" s="72"/>
      <c r="AG22" s="118"/>
      <c r="AH22" s="73"/>
      <c r="AI22" s="71"/>
      <c r="AJ22" s="71"/>
      <c r="AK22" s="71"/>
      <c r="AL22" s="72"/>
      <c r="AM22" s="110"/>
      <c r="AN22" s="79" t="str">
        <f t="shared" si="0"/>
        <v/>
      </c>
      <c r="AO22" s="80" t="str" cm="1">
        <f t="array" ref="AO22">IF(LEN(TRIM(B22))=0, "", COUNTA($D$11:$AL$11) - SUM(COUNTIF(D22:AL22, {"x","◢"})))</f>
        <v/>
      </c>
      <c r="AP22" s="147"/>
      <c r="AQ22" s="148"/>
      <c r="AR22" s="148"/>
      <c r="AS22" s="148"/>
      <c r="AT22" s="148"/>
      <c r="AU22" s="149"/>
    </row>
    <row r="23" spans="1:47" ht="22.15" customHeight="1" x14ac:dyDescent="0.25">
      <c r="A23" s="116">
        <v>10</v>
      </c>
      <c r="B23" s="281"/>
      <c r="C23" s="282"/>
      <c r="D23" s="69"/>
      <c r="E23" s="70"/>
      <c r="F23" s="71"/>
      <c r="G23" s="71"/>
      <c r="H23" s="72"/>
      <c r="I23" s="115"/>
      <c r="J23" s="73"/>
      <c r="K23" s="71"/>
      <c r="L23" s="71"/>
      <c r="M23" s="71"/>
      <c r="N23" s="72"/>
      <c r="O23" s="115"/>
      <c r="P23" s="73"/>
      <c r="Q23" s="71"/>
      <c r="R23" s="71"/>
      <c r="S23" s="71"/>
      <c r="T23" s="72"/>
      <c r="U23" s="115"/>
      <c r="V23" s="73"/>
      <c r="W23" s="71"/>
      <c r="X23" s="71"/>
      <c r="Y23" s="71"/>
      <c r="Z23" s="72"/>
      <c r="AA23" s="115"/>
      <c r="AB23" s="73"/>
      <c r="AC23" s="71"/>
      <c r="AD23" s="71"/>
      <c r="AE23" s="71"/>
      <c r="AF23" s="72"/>
      <c r="AG23" s="118"/>
      <c r="AH23" s="73"/>
      <c r="AI23" s="71"/>
      <c r="AJ23" s="71"/>
      <c r="AK23" s="71"/>
      <c r="AL23" s="72"/>
      <c r="AM23" s="110"/>
      <c r="AN23" s="79" t="str">
        <f t="shared" si="0"/>
        <v/>
      </c>
      <c r="AO23" s="80" t="str" cm="1">
        <f t="array" ref="AO23">IF(LEN(TRIM(B23))=0, "", COUNTA($D$11:$AL$11) - SUM(COUNTIF(D23:AL23, {"x","◢"})))</f>
        <v/>
      </c>
      <c r="AP23" s="147"/>
      <c r="AQ23" s="148"/>
      <c r="AR23" s="148"/>
      <c r="AS23" s="148"/>
      <c r="AT23" s="148"/>
      <c r="AU23" s="149"/>
    </row>
    <row r="24" spans="1:47" ht="22.15" customHeight="1" x14ac:dyDescent="0.25">
      <c r="A24" s="116">
        <v>11</v>
      </c>
      <c r="B24" s="281"/>
      <c r="C24" s="282"/>
      <c r="D24" s="69"/>
      <c r="E24" s="70"/>
      <c r="F24" s="71"/>
      <c r="G24" s="71"/>
      <c r="H24" s="72"/>
      <c r="I24" s="115"/>
      <c r="J24" s="73"/>
      <c r="K24" s="71"/>
      <c r="L24" s="71"/>
      <c r="M24" s="71"/>
      <c r="N24" s="72"/>
      <c r="O24" s="115"/>
      <c r="P24" s="73"/>
      <c r="Q24" s="71"/>
      <c r="R24" s="71"/>
      <c r="S24" s="71"/>
      <c r="T24" s="72"/>
      <c r="U24" s="115"/>
      <c r="V24" s="73"/>
      <c r="W24" s="71"/>
      <c r="X24" s="71"/>
      <c r="Y24" s="71"/>
      <c r="Z24" s="72"/>
      <c r="AA24" s="115"/>
      <c r="AB24" s="73"/>
      <c r="AC24" s="71"/>
      <c r="AD24" s="71"/>
      <c r="AE24" s="71"/>
      <c r="AF24" s="72"/>
      <c r="AG24" s="118"/>
      <c r="AH24" s="73"/>
      <c r="AI24" s="71"/>
      <c r="AJ24" s="71"/>
      <c r="AK24" s="71"/>
      <c r="AL24" s="72"/>
      <c r="AM24" s="110"/>
      <c r="AN24" s="79" t="str">
        <f t="shared" si="0"/>
        <v/>
      </c>
      <c r="AO24" s="80" t="str" cm="1">
        <f t="array" ref="AO24">IF(LEN(TRIM(B24))=0, "", COUNTA($D$11:$AL$11) - SUM(COUNTIF(D24:AL24, {"x","◢"})))</f>
        <v/>
      </c>
      <c r="AP24" s="147"/>
      <c r="AQ24" s="148"/>
      <c r="AR24" s="148"/>
      <c r="AS24" s="148"/>
      <c r="AT24" s="148"/>
      <c r="AU24" s="149"/>
    </row>
    <row r="25" spans="1:47" ht="22.15" customHeight="1" x14ac:dyDescent="0.25">
      <c r="A25" s="116">
        <v>12</v>
      </c>
      <c r="B25" s="281"/>
      <c r="C25" s="282"/>
      <c r="D25" s="69"/>
      <c r="E25" s="70"/>
      <c r="F25" s="71"/>
      <c r="G25" s="71"/>
      <c r="H25" s="72"/>
      <c r="I25" s="115"/>
      <c r="J25" s="73"/>
      <c r="K25" s="71"/>
      <c r="L25" s="71"/>
      <c r="M25" s="71"/>
      <c r="N25" s="72"/>
      <c r="O25" s="115"/>
      <c r="P25" s="73"/>
      <c r="Q25" s="71"/>
      <c r="R25" s="71"/>
      <c r="S25" s="71"/>
      <c r="T25" s="72"/>
      <c r="U25" s="115"/>
      <c r="V25" s="73"/>
      <c r="W25" s="71"/>
      <c r="X25" s="71"/>
      <c r="Y25" s="71"/>
      <c r="Z25" s="72"/>
      <c r="AA25" s="115"/>
      <c r="AB25" s="73"/>
      <c r="AC25" s="71"/>
      <c r="AD25" s="71"/>
      <c r="AE25" s="71"/>
      <c r="AF25" s="72"/>
      <c r="AG25" s="118"/>
      <c r="AH25" s="73"/>
      <c r="AI25" s="71"/>
      <c r="AJ25" s="71"/>
      <c r="AK25" s="71"/>
      <c r="AL25" s="72"/>
      <c r="AM25" s="110"/>
      <c r="AN25" s="79" t="str">
        <f t="shared" si="0"/>
        <v/>
      </c>
      <c r="AO25" s="80" t="str" cm="1">
        <f t="array" ref="AO25">IF(LEN(TRIM(B25))=0, "", COUNTA($D$11:$AL$11) - SUM(COUNTIF(D25:AL25, {"x","◢"})))</f>
        <v/>
      </c>
      <c r="AP25" s="147"/>
      <c r="AQ25" s="148"/>
      <c r="AR25" s="148"/>
      <c r="AS25" s="148"/>
      <c r="AT25" s="148"/>
      <c r="AU25" s="149"/>
    </row>
    <row r="26" spans="1:47" ht="22.15" customHeight="1" x14ac:dyDescent="0.25">
      <c r="A26" s="116">
        <v>13</v>
      </c>
      <c r="B26" s="281"/>
      <c r="C26" s="282"/>
      <c r="D26" s="69"/>
      <c r="E26" s="70"/>
      <c r="F26" s="71"/>
      <c r="G26" s="71"/>
      <c r="H26" s="72"/>
      <c r="I26" s="115"/>
      <c r="J26" s="73"/>
      <c r="K26" s="71"/>
      <c r="L26" s="71"/>
      <c r="M26" s="71"/>
      <c r="N26" s="72"/>
      <c r="O26" s="115"/>
      <c r="P26" s="73"/>
      <c r="Q26" s="71"/>
      <c r="R26" s="71"/>
      <c r="S26" s="71"/>
      <c r="T26" s="72"/>
      <c r="U26" s="115"/>
      <c r="V26" s="73"/>
      <c r="W26" s="71"/>
      <c r="X26" s="71"/>
      <c r="Y26" s="71"/>
      <c r="Z26" s="72"/>
      <c r="AA26" s="115"/>
      <c r="AB26" s="73"/>
      <c r="AC26" s="71"/>
      <c r="AD26" s="71"/>
      <c r="AE26" s="71"/>
      <c r="AF26" s="72"/>
      <c r="AG26" s="118"/>
      <c r="AH26" s="73"/>
      <c r="AI26" s="71"/>
      <c r="AJ26" s="71"/>
      <c r="AK26" s="71"/>
      <c r="AL26" s="72"/>
      <c r="AM26" s="110"/>
      <c r="AN26" s="79" t="str">
        <f t="shared" si="0"/>
        <v/>
      </c>
      <c r="AO26" s="80" t="str" cm="1">
        <f t="array" ref="AO26">IF(LEN(TRIM(B26))=0, "", COUNTA($D$11:$AL$11) - SUM(COUNTIF(D26:AL26, {"x","◢"})))</f>
        <v/>
      </c>
      <c r="AP26" s="147"/>
      <c r="AQ26" s="148"/>
      <c r="AR26" s="148"/>
      <c r="AS26" s="148"/>
      <c r="AT26" s="148"/>
      <c r="AU26" s="149"/>
    </row>
    <row r="27" spans="1:47" ht="22.15" customHeight="1" x14ac:dyDescent="0.25">
      <c r="A27" s="116"/>
      <c r="B27" s="281"/>
      <c r="C27" s="282"/>
      <c r="D27" s="69"/>
      <c r="E27" s="70"/>
      <c r="F27" s="71"/>
      <c r="G27" s="71"/>
      <c r="H27" s="72"/>
      <c r="I27" s="115"/>
      <c r="J27" s="73"/>
      <c r="K27" s="71"/>
      <c r="L27" s="71"/>
      <c r="M27" s="71"/>
      <c r="N27" s="72"/>
      <c r="O27" s="115"/>
      <c r="P27" s="73"/>
      <c r="Q27" s="71"/>
      <c r="R27" s="71"/>
      <c r="S27" s="71"/>
      <c r="T27" s="72"/>
      <c r="U27" s="115"/>
      <c r="V27" s="73"/>
      <c r="W27" s="71"/>
      <c r="X27" s="71"/>
      <c r="Y27" s="71"/>
      <c r="Z27" s="72"/>
      <c r="AA27" s="115"/>
      <c r="AB27" s="73"/>
      <c r="AC27" s="71"/>
      <c r="AD27" s="71"/>
      <c r="AE27" s="71"/>
      <c r="AF27" s="72"/>
      <c r="AG27" s="118"/>
      <c r="AH27" s="73"/>
      <c r="AI27" s="71"/>
      <c r="AJ27" s="71"/>
      <c r="AK27" s="71"/>
      <c r="AL27" s="72"/>
      <c r="AM27" s="110"/>
      <c r="AN27" s="79" t="str">
        <f t="shared" si="0"/>
        <v/>
      </c>
      <c r="AO27" s="80" t="str" cm="1">
        <f t="array" ref="AO27">IF(LEN(TRIM(B27))=0, "", COUNTA($D$11:$AL$11) - SUM(COUNTIF(D27:AL27, {"x","◢"})))</f>
        <v/>
      </c>
      <c r="AP27" s="147"/>
      <c r="AQ27" s="148"/>
      <c r="AR27" s="148"/>
      <c r="AS27" s="148"/>
      <c r="AT27" s="148"/>
      <c r="AU27" s="149"/>
    </row>
    <row r="28" spans="1:47" ht="22.15" customHeight="1" x14ac:dyDescent="0.25">
      <c r="A28" s="116"/>
      <c r="B28" s="281"/>
      <c r="C28" s="282"/>
      <c r="D28" s="69"/>
      <c r="E28" s="70"/>
      <c r="F28" s="71"/>
      <c r="G28" s="71"/>
      <c r="H28" s="72"/>
      <c r="I28" s="115"/>
      <c r="J28" s="73"/>
      <c r="K28" s="71"/>
      <c r="L28" s="71"/>
      <c r="M28" s="71"/>
      <c r="N28" s="72"/>
      <c r="O28" s="115"/>
      <c r="P28" s="73"/>
      <c r="Q28" s="71"/>
      <c r="R28" s="71"/>
      <c r="S28" s="71"/>
      <c r="T28" s="72"/>
      <c r="U28" s="115"/>
      <c r="V28" s="73"/>
      <c r="W28" s="71"/>
      <c r="X28" s="71"/>
      <c r="Y28" s="71"/>
      <c r="Z28" s="72"/>
      <c r="AA28" s="115"/>
      <c r="AB28" s="73"/>
      <c r="AC28" s="71"/>
      <c r="AD28" s="71"/>
      <c r="AE28" s="71"/>
      <c r="AF28" s="72"/>
      <c r="AG28" s="118"/>
      <c r="AH28" s="73"/>
      <c r="AI28" s="71"/>
      <c r="AJ28" s="71"/>
      <c r="AK28" s="71"/>
      <c r="AL28" s="72"/>
      <c r="AM28" s="110"/>
      <c r="AN28" s="79" t="str">
        <f t="shared" si="0"/>
        <v/>
      </c>
      <c r="AO28" s="80" t="str" cm="1">
        <f t="array" ref="AO28">IF(LEN(TRIM(B28))=0, "", COUNTA($D$11:$AL$11) - SUM(COUNTIF(D28:AL28, {"x","◢"})))</f>
        <v/>
      </c>
      <c r="AP28" s="147"/>
      <c r="AQ28" s="148"/>
      <c r="AR28" s="148"/>
      <c r="AS28" s="148"/>
      <c r="AT28" s="148"/>
      <c r="AU28" s="149"/>
    </row>
    <row r="29" spans="1:47" ht="22.15" customHeight="1" x14ac:dyDescent="0.25">
      <c r="A29" s="116"/>
      <c r="B29" s="281" t="s">
        <v>89</v>
      </c>
      <c r="C29" s="282"/>
      <c r="D29" s="69"/>
      <c r="E29" s="70"/>
      <c r="F29" s="71"/>
      <c r="G29" s="71"/>
      <c r="H29" s="72"/>
      <c r="I29" s="115"/>
      <c r="J29" s="73"/>
      <c r="K29" s="71"/>
      <c r="L29" s="71"/>
      <c r="M29" s="71"/>
      <c r="N29" s="72"/>
      <c r="O29" s="115"/>
      <c r="P29" s="73"/>
      <c r="Q29" s="71"/>
      <c r="R29" s="71"/>
      <c r="S29" s="71"/>
      <c r="T29" s="72"/>
      <c r="U29" s="115"/>
      <c r="V29" s="73"/>
      <c r="W29" s="71"/>
      <c r="X29" s="71"/>
      <c r="Y29" s="71"/>
      <c r="Z29" s="72"/>
      <c r="AA29" s="115"/>
      <c r="AB29" s="73"/>
      <c r="AC29" s="71"/>
      <c r="AD29" s="71"/>
      <c r="AE29" s="71"/>
      <c r="AF29" s="72"/>
      <c r="AG29" s="118"/>
      <c r="AH29" s="73"/>
      <c r="AI29" s="71"/>
      <c r="AJ29" s="71"/>
      <c r="AK29" s="71"/>
      <c r="AL29" s="72"/>
      <c r="AM29" s="110"/>
      <c r="AN29" s="79" t="str">
        <f t="shared" si="0"/>
        <v/>
      </c>
      <c r="AO29" s="80" t="str" cm="1">
        <f t="array" ref="AO29">IF(LEN(TRIM(B29))=0, "", COUNTA($D$11:$AL$11) - SUM(COUNTIF(D29:AL29, {"x","◢"})))</f>
        <v/>
      </c>
      <c r="AP29" s="147"/>
      <c r="AQ29" s="148"/>
      <c r="AR29" s="148"/>
      <c r="AS29" s="148"/>
      <c r="AT29" s="148"/>
      <c r="AU29" s="149"/>
    </row>
    <row r="30" spans="1:47" ht="22.15" customHeight="1" x14ac:dyDescent="0.25">
      <c r="A30" s="116"/>
      <c r="B30" s="281" t="s">
        <v>89</v>
      </c>
      <c r="C30" s="282"/>
      <c r="D30" s="69"/>
      <c r="E30" s="70"/>
      <c r="F30" s="71"/>
      <c r="G30" s="71"/>
      <c r="H30" s="72"/>
      <c r="I30" s="115"/>
      <c r="J30" s="73"/>
      <c r="K30" s="71"/>
      <c r="L30" s="71"/>
      <c r="M30" s="71"/>
      <c r="N30" s="72"/>
      <c r="O30" s="115"/>
      <c r="P30" s="73"/>
      <c r="Q30" s="71"/>
      <c r="R30" s="71"/>
      <c r="S30" s="71"/>
      <c r="T30" s="72"/>
      <c r="U30" s="115"/>
      <c r="V30" s="73"/>
      <c r="W30" s="71"/>
      <c r="X30" s="71"/>
      <c r="Y30" s="71"/>
      <c r="Z30" s="72"/>
      <c r="AA30" s="115"/>
      <c r="AB30" s="73"/>
      <c r="AC30" s="71"/>
      <c r="AD30" s="71"/>
      <c r="AE30" s="71"/>
      <c r="AF30" s="72"/>
      <c r="AG30" s="118"/>
      <c r="AH30" s="73"/>
      <c r="AI30" s="71"/>
      <c r="AJ30" s="71"/>
      <c r="AK30" s="71"/>
      <c r="AL30" s="72"/>
      <c r="AM30" s="110"/>
      <c r="AN30" s="79" t="str">
        <f t="shared" si="0"/>
        <v/>
      </c>
      <c r="AO30" s="80" t="str" cm="1">
        <f t="array" ref="AO30">IF(LEN(TRIM(B30))=0, "", COUNTA($D$11:$AL$11) - SUM(COUNTIF(D30:AL30, {"x","◢"})))</f>
        <v/>
      </c>
      <c r="AP30" s="147"/>
      <c r="AQ30" s="148"/>
      <c r="AR30" s="148"/>
      <c r="AS30" s="148"/>
      <c r="AT30" s="148"/>
      <c r="AU30" s="149"/>
    </row>
    <row r="31" spans="1:47" ht="22.15" customHeight="1" x14ac:dyDescent="0.25">
      <c r="A31" s="116"/>
      <c r="B31" s="281"/>
      <c r="C31" s="282"/>
      <c r="D31" s="69"/>
      <c r="E31" s="70"/>
      <c r="F31" s="71"/>
      <c r="G31" s="71"/>
      <c r="H31" s="72"/>
      <c r="I31" s="115"/>
      <c r="J31" s="73"/>
      <c r="K31" s="71"/>
      <c r="L31" s="71"/>
      <c r="M31" s="71"/>
      <c r="N31" s="72"/>
      <c r="O31" s="115"/>
      <c r="P31" s="73"/>
      <c r="Q31" s="71"/>
      <c r="R31" s="71"/>
      <c r="S31" s="71"/>
      <c r="T31" s="72"/>
      <c r="U31" s="115"/>
      <c r="V31" s="73"/>
      <c r="W31" s="71"/>
      <c r="X31" s="71"/>
      <c r="Y31" s="71"/>
      <c r="Z31" s="72"/>
      <c r="AA31" s="115"/>
      <c r="AB31" s="73"/>
      <c r="AC31" s="71"/>
      <c r="AD31" s="71"/>
      <c r="AE31" s="71"/>
      <c r="AF31" s="72"/>
      <c r="AG31" s="118"/>
      <c r="AH31" s="73"/>
      <c r="AI31" s="71"/>
      <c r="AJ31" s="71"/>
      <c r="AK31" s="71"/>
      <c r="AL31" s="72"/>
      <c r="AM31" s="110"/>
      <c r="AN31" s="79" t="str">
        <f t="shared" si="0"/>
        <v/>
      </c>
      <c r="AO31" s="80" t="str" cm="1">
        <f t="array" ref="AO31">IF(LEN(TRIM(B31))=0, "", COUNTA($D$11:$AL$11) - SUM(COUNTIF(D31:AL31, {"x","◢"})))</f>
        <v/>
      </c>
      <c r="AP31" s="147"/>
      <c r="AQ31" s="148"/>
      <c r="AR31" s="148"/>
      <c r="AS31" s="148"/>
      <c r="AT31" s="148"/>
      <c r="AU31" s="149"/>
    </row>
    <row r="32" spans="1:47" ht="22.15" customHeight="1" x14ac:dyDescent="0.25">
      <c r="A32" s="116"/>
      <c r="B32" s="281"/>
      <c r="C32" s="282"/>
      <c r="D32" s="69"/>
      <c r="E32" s="70"/>
      <c r="F32" s="71"/>
      <c r="G32" s="71"/>
      <c r="H32" s="72"/>
      <c r="I32" s="115"/>
      <c r="J32" s="73"/>
      <c r="K32" s="71"/>
      <c r="L32" s="71"/>
      <c r="M32" s="71"/>
      <c r="N32" s="72"/>
      <c r="O32" s="115"/>
      <c r="P32" s="73"/>
      <c r="Q32" s="71"/>
      <c r="R32" s="71"/>
      <c r="S32" s="71"/>
      <c r="T32" s="72"/>
      <c r="U32" s="115"/>
      <c r="V32" s="73"/>
      <c r="W32" s="71"/>
      <c r="X32" s="71"/>
      <c r="Y32" s="71"/>
      <c r="Z32" s="72"/>
      <c r="AA32" s="115"/>
      <c r="AB32" s="73"/>
      <c r="AC32" s="71"/>
      <c r="AD32" s="71"/>
      <c r="AE32" s="71"/>
      <c r="AF32" s="72"/>
      <c r="AG32" s="118"/>
      <c r="AH32" s="73"/>
      <c r="AI32" s="71"/>
      <c r="AJ32" s="71"/>
      <c r="AK32" s="71"/>
      <c r="AL32" s="72"/>
      <c r="AM32" s="110"/>
      <c r="AN32" s="79" t="str">
        <f t="shared" si="0"/>
        <v/>
      </c>
      <c r="AO32" s="80" t="str" cm="1">
        <f t="array" ref="AO32">IF(LEN(TRIM(B32))=0, "", COUNTA($D$11:$AL$11) - SUM(COUNTIF(D32:AL32, {"x","◢"})))</f>
        <v/>
      </c>
      <c r="AP32" s="147"/>
      <c r="AQ32" s="148"/>
      <c r="AR32" s="148"/>
      <c r="AS32" s="148"/>
      <c r="AT32" s="148"/>
      <c r="AU32" s="149"/>
    </row>
    <row r="33" spans="1:47" ht="22.15" customHeight="1" thickBot="1" x14ac:dyDescent="0.3">
      <c r="A33" s="116"/>
      <c r="B33" s="281"/>
      <c r="C33" s="282"/>
      <c r="D33" s="69"/>
      <c r="E33" s="70"/>
      <c r="F33" s="71"/>
      <c r="G33" s="71"/>
      <c r="H33" s="72"/>
      <c r="I33" s="115"/>
      <c r="J33" s="73"/>
      <c r="K33" s="71"/>
      <c r="L33" s="71"/>
      <c r="M33" s="71"/>
      <c r="N33" s="72"/>
      <c r="O33" s="115"/>
      <c r="P33" s="73"/>
      <c r="Q33" s="71"/>
      <c r="R33" s="71"/>
      <c r="S33" s="71"/>
      <c r="T33" s="72"/>
      <c r="U33" s="115"/>
      <c r="V33" s="73"/>
      <c r="W33" s="71"/>
      <c r="X33" s="71"/>
      <c r="Y33" s="71"/>
      <c r="Z33" s="72"/>
      <c r="AA33" s="115"/>
      <c r="AB33" s="73"/>
      <c r="AC33" s="71"/>
      <c r="AD33" s="71"/>
      <c r="AE33" s="71"/>
      <c r="AF33" s="72"/>
      <c r="AG33" s="118"/>
      <c r="AH33" s="73"/>
      <c r="AI33" s="71"/>
      <c r="AJ33" s="71"/>
      <c r="AK33" s="71"/>
      <c r="AL33" s="72"/>
      <c r="AM33" s="110"/>
      <c r="AN33" s="79" t="str">
        <f t="shared" ref="AN33:AN43" si="1">IF(COUNTIF(D33:AL33, "x")=0, "", COUNTIF(D33:AL33, "x"))</f>
        <v/>
      </c>
      <c r="AO33" s="80" t="str" cm="1">
        <f t="array" ref="AO33">IF(LEN(TRIM(B33))=0, "", COUNTA($D$11:$AL$11) - SUM(COUNTIF(D33:AL33, {"x","◢"})))</f>
        <v/>
      </c>
      <c r="AP33" s="175"/>
      <c r="AQ33" s="176"/>
      <c r="AR33" s="176"/>
      <c r="AS33" s="176"/>
      <c r="AT33" s="176"/>
      <c r="AU33" s="177"/>
    </row>
    <row r="34" spans="1:47" ht="22.15" hidden="1" customHeight="1" x14ac:dyDescent="0.25">
      <c r="A34" s="116"/>
      <c r="B34" s="281"/>
      <c r="C34" s="282"/>
      <c r="D34" s="69"/>
      <c r="E34" s="70"/>
      <c r="F34" s="71"/>
      <c r="G34" s="71"/>
      <c r="H34" s="72"/>
      <c r="I34" s="115"/>
      <c r="J34" s="73"/>
      <c r="K34" s="71"/>
      <c r="L34" s="71"/>
      <c r="M34" s="71"/>
      <c r="N34" s="72"/>
      <c r="O34" s="115"/>
      <c r="P34" s="73"/>
      <c r="Q34" s="71"/>
      <c r="R34" s="71"/>
      <c r="S34" s="71"/>
      <c r="T34" s="72"/>
      <c r="U34" s="115"/>
      <c r="V34" s="73"/>
      <c r="W34" s="71"/>
      <c r="X34" s="71"/>
      <c r="Y34" s="71"/>
      <c r="Z34" s="72"/>
      <c r="AA34" s="115"/>
      <c r="AB34" s="73"/>
      <c r="AC34" s="71"/>
      <c r="AD34" s="71"/>
      <c r="AE34" s="71"/>
      <c r="AF34" s="72"/>
      <c r="AG34" s="118"/>
      <c r="AH34" s="73"/>
      <c r="AI34" s="71"/>
      <c r="AJ34" s="71"/>
      <c r="AK34" s="71"/>
      <c r="AL34" s="72"/>
      <c r="AM34" s="110"/>
      <c r="AN34" s="79" t="str">
        <f t="shared" si="1"/>
        <v/>
      </c>
      <c r="AO34" s="80" t="str" cm="1">
        <f t="array" ref="AO34">IF(LEN(TRIM(B34))=0, "", COUNTA($D$11:$AL$11) - SUM(COUNTIF(D34:AL34, {"x","◢"})))</f>
        <v/>
      </c>
      <c r="AP34" s="175"/>
      <c r="AQ34" s="176"/>
      <c r="AR34" s="176"/>
      <c r="AS34" s="176"/>
      <c r="AT34" s="176"/>
      <c r="AU34" s="177"/>
    </row>
    <row r="35" spans="1:47" ht="22.15" hidden="1" customHeight="1" x14ac:dyDescent="0.25">
      <c r="A35" s="116"/>
      <c r="B35" s="281"/>
      <c r="C35" s="282"/>
      <c r="D35" s="69"/>
      <c r="E35" s="70"/>
      <c r="F35" s="71"/>
      <c r="G35" s="71"/>
      <c r="H35" s="72"/>
      <c r="I35" s="115"/>
      <c r="J35" s="73"/>
      <c r="K35" s="71"/>
      <c r="L35" s="71"/>
      <c r="M35" s="71"/>
      <c r="N35" s="72"/>
      <c r="O35" s="115"/>
      <c r="P35" s="73"/>
      <c r="Q35" s="71"/>
      <c r="R35" s="71"/>
      <c r="S35" s="71"/>
      <c r="T35" s="72"/>
      <c r="U35" s="115"/>
      <c r="V35" s="73"/>
      <c r="W35" s="71"/>
      <c r="X35" s="71"/>
      <c r="Y35" s="71"/>
      <c r="Z35" s="72"/>
      <c r="AA35" s="115"/>
      <c r="AB35" s="73"/>
      <c r="AC35" s="71"/>
      <c r="AD35" s="71"/>
      <c r="AE35" s="71"/>
      <c r="AF35" s="72"/>
      <c r="AG35" s="118"/>
      <c r="AH35" s="73"/>
      <c r="AI35" s="71"/>
      <c r="AJ35" s="71"/>
      <c r="AK35" s="71"/>
      <c r="AL35" s="72"/>
      <c r="AM35" s="110"/>
      <c r="AN35" s="79" t="str">
        <f t="shared" si="1"/>
        <v/>
      </c>
      <c r="AO35" s="80" t="str" cm="1">
        <f t="array" ref="AO35">IF(LEN(TRIM(B35))=0, "", COUNTA($D$11:$AL$11) - SUM(COUNTIF(D35:AL35, {"x","◢"})))</f>
        <v/>
      </c>
      <c r="AP35" s="175"/>
      <c r="AQ35" s="176"/>
      <c r="AR35" s="176"/>
      <c r="AS35" s="176"/>
      <c r="AT35" s="176"/>
      <c r="AU35" s="177"/>
    </row>
    <row r="36" spans="1:47" ht="22.15" hidden="1" customHeight="1" x14ac:dyDescent="0.25">
      <c r="A36" s="116"/>
      <c r="B36" s="281"/>
      <c r="C36" s="282"/>
      <c r="D36" s="69"/>
      <c r="E36" s="70"/>
      <c r="F36" s="71"/>
      <c r="G36" s="71"/>
      <c r="H36" s="72"/>
      <c r="I36" s="115"/>
      <c r="J36" s="73"/>
      <c r="K36" s="71"/>
      <c r="L36" s="71"/>
      <c r="M36" s="71"/>
      <c r="N36" s="72"/>
      <c r="O36" s="115"/>
      <c r="P36" s="73"/>
      <c r="Q36" s="71"/>
      <c r="R36" s="71"/>
      <c r="S36" s="71"/>
      <c r="T36" s="72"/>
      <c r="U36" s="115"/>
      <c r="V36" s="73"/>
      <c r="W36" s="71"/>
      <c r="X36" s="71"/>
      <c r="Y36" s="71"/>
      <c r="Z36" s="72"/>
      <c r="AA36" s="115"/>
      <c r="AB36" s="73"/>
      <c r="AC36" s="71"/>
      <c r="AD36" s="71"/>
      <c r="AE36" s="71"/>
      <c r="AF36" s="72"/>
      <c r="AG36" s="118"/>
      <c r="AH36" s="73"/>
      <c r="AI36" s="71"/>
      <c r="AJ36" s="71"/>
      <c r="AK36" s="71"/>
      <c r="AL36" s="72"/>
      <c r="AM36" s="110"/>
      <c r="AN36" s="79" t="str">
        <f t="shared" si="1"/>
        <v/>
      </c>
      <c r="AO36" s="80" t="str" cm="1">
        <f t="array" ref="AO36">IF(LEN(TRIM(B36))=0, "", COUNTA($D$11:$AL$11) - SUM(COUNTIF(D36:AL36, {"x","◢"})))</f>
        <v/>
      </c>
      <c r="AP36" s="175"/>
      <c r="AQ36" s="176"/>
      <c r="AR36" s="176"/>
      <c r="AS36" s="176"/>
      <c r="AT36" s="176"/>
      <c r="AU36" s="177"/>
    </row>
    <row r="37" spans="1:47" ht="22.15" hidden="1" customHeight="1" x14ac:dyDescent="0.25">
      <c r="A37" s="116"/>
      <c r="B37" s="281"/>
      <c r="C37" s="282"/>
      <c r="D37" s="69"/>
      <c r="E37" s="70"/>
      <c r="F37" s="71"/>
      <c r="G37" s="71"/>
      <c r="H37" s="72"/>
      <c r="I37" s="115"/>
      <c r="J37" s="73"/>
      <c r="K37" s="71"/>
      <c r="L37" s="71"/>
      <c r="M37" s="71"/>
      <c r="N37" s="72"/>
      <c r="O37" s="115"/>
      <c r="P37" s="73"/>
      <c r="Q37" s="71"/>
      <c r="R37" s="71"/>
      <c r="S37" s="71"/>
      <c r="T37" s="72"/>
      <c r="U37" s="115"/>
      <c r="V37" s="73"/>
      <c r="W37" s="71"/>
      <c r="X37" s="71"/>
      <c r="Y37" s="71"/>
      <c r="Z37" s="72"/>
      <c r="AA37" s="115"/>
      <c r="AB37" s="73"/>
      <c r="AC37" s="71"/>
      <c r="AD37" s="71"/>
      <c r="AE37" s="71"/>
      <c r="AF37" s="72"/>
      <c r="AG37" s="118"/>
      <c r="AH37" s="73"/>
      <c r="AI37" s="71"/>
      <c r="AJ37" s="71"/>
      <c r="AK37" s="71"/>
      <c r="AL37" s="72"/>
      <c r="AM37" s="110"/>
      <c r="AN37" s="79" t="str">
        <f t="shared" si="1"/>
        <v/>
      </c>
      <c r="AO37" s="80" t="str" cm="1">
        <f t="array" ref="AO37">IF(LEN(TRIM(B37))=0, "", COUNTA($D$11:$AL$11) - SUM(COUNTIF(D37:AL37, {"x","◢"})))</f>
        <v/>
      </c>
      <c r="AP37" s="175"/>
      <c r="AQ37" s="176"/>
      <c r="AR37" s="176"/>
      <c r="AS37" s="176"/>
      <c r="AT37" s="176"/>
      <c r="AU37" s="177"/>
    </row>
    <row r="38" spans="1:47" ht="22.15" hidden="1" customHeight="1" x14ac:dyDescent="0.25">
      <c r="A38" s="116"/>
      <c r="B38" s="281"/>
      <c r="C38" s="282"/>
      <c r="D38" s="69"/>
      <c r="E38" s="70"/>
      <c r="F38" s="71"/>
      <c r="G38" s="71"/>
      <c r="H38" s="72"/>
      <c r="I38" s="115"/>
      <c r="J38" s="73"/>
      <c r="K38" s="71"/>
      <c r="L38" s="71"/>
      <c r="M38" s="71"/>
      <c r="N38" s="72"/>
      <c r="O38" s="115"/>
      <c r="P38" s="73"/>
      <c r="Q38" s="71"/>
      <c r="R38" s="71"/>
      <c r="S38" s="71"/>
      <c r="T38" s="72"/>
      <c r="U38" s="115"/>
      <c r="V38" s="73"/>
      <c r="W38" s="71"/>
      <c r="X38" s="71"/>
      <c r="Y38" s="71"/>
      <c r="Z38" s="72"/>
      <c r="AA38" s="115"/>
      <c r="AB38" s="73"/>
      <c r="AC38" s="71"/>
      <c r="AD38" s="71"/>
      <c r="AE38" s="71"/>
      <c r="AF38" s="72"/>
      <c r="AG38" s="118"/>
      <c r="AH38" s="73"/>
      <c r="AI38" s="71"/>
      <c r="AJ38" s="71"/>
      <c r="AK38" s="71"/>
      <c r="AL38" s="72"/>
      <c r="AM38" s="110"/>
      <c r="AN38" s="79" t="str">
        <f t="shared" si="1"/>
        <v/>
      </c>
      <c r="AO38" s="80" t="str" cm="1">
        <f t="array" ref="AO38">IF(LEN(TRIM(B38))=0, "", COUNTA($D$11:$AL$11) - SUM(COUNTIF(D38:AL38, {"x","◢"})))</f>
        <v/>
      </c>
      <c r="AP38" s="175"/>
      <c r="AQ38" s="176"/>
      <c r="AR38" s="176"/>
      <c r="AS38" s="176"/>
      <c r="AT38" s="176"/>
      <c r="AU38" s="177"/>
    </row>
    <row r="39" spans="1:47" ht="22.15" hidden="1" customHeight="1" x14ac:dyDescent="0.25">
      <c r="A39" s="116"/>
      <c r="B39" s="281"/>
      <c r="C39" s="282"/>
      <c r="D39" s="69"/>
      <c r="E39" s="70"/>
      <c r="F39" s="71"/>
      <c r="G39" s="71"/>
      <c r="H39" s="72"/>
      <c r="I39" s="115"/>
      <c r="J39" s="73"/>
      <c r="K39" s="71"/>
      <c r="L39" s="71"/>
      <c r="M39" s="71"/>
      <c r="N39" s="72"/>
      <c r="O39" s="115"/>
      <c r="P39" s="73"/>
      <c r="Q39" s="71"/>
      <c r="R39" s="71"/>
      <c r="S39" s="71"/>
      <c r="T39" s="72"/>
      <c r="U39" s="115"/>
      <c r="V39" s="73"/>
      <c r="W39" s="71"/>
      <c r="X39" s="71"/>
      <c r="Y39" s="71"/>
      <c r="Z39" s="72"/>
      <c r="AA39" s="115"/>
      <c r="AB39" s="73"/>
      <c r="AC39" s="71"/>
      <c r="AD39" s="71"/>
      <c r="AE39" s="71"/>
      <c r="AF39" s="72"/>
      <c r="AG39" s="118"/>
      <c r="AH39" s="73"/>
      <c r="AI39" s="71"/>
      <c r="AJ39" s="71"/>
      <c r="AK39" s="71"/>
      <c r="AL39" s="72"/>
      <c r="AM39" s="110"/>
      <c r="AN39" s="79" t="str">
        <f t="shared" si="1"/>
        <v/>
      </c>
      <c r="AO39" s="80" t="str" cm="1">
        <f t="array" ref="AO39">IF(LEN(TRIM(B39))=0, "", COUNTA($D$11:$AL$11) - SUM(COUNTIF(D39:AL39, {"x","◢"})))</f>
        <v/>
      </c>
      <c r="AP39" s="175"/>
      <c r="AQ39" s="176"/>
      <c r="AR39" s="176"/>
      <c r="AS39" s="176"/>
      <c r="AT39" s="176"/>
      <c r="AU39" s="177"/>
    </row>
    <row r="40" spans="1:47" ht="22.15" hidden="1" customHeight="1" x14ac:dyDescent="0.25">
      <c r="A40" s="116"/>
      <c r="B40" s="281"/>
      <c r="C40" s="282"/>
      <c r="D40" s="69"/>
      <c r="E40" s="70"/>
      <c r="F40" s="71"/>
      <c r="G40" s="71"/>
      <c r="H40" s="72"/>
      <c r="I40" s="115"/>
      <c r="J40" s="73"/>
      <c r="K40" s="71"/>
      <c r="L40" s="71"/>
      <c r="M40" s="71"/>
      <c r="N40" s="72"/>
      <c r="O40" s="115"/>
      <c r="P40" s="73"/>
      <c r="Q40" s="71"/>
      <c r="R40" s="71"/>
      <c r="S40" s="71"/>
      <c r="T40" s="72"/>
      <c r="U40" s="115"/>
      <c r="V40" s="73"/>
      <c r="W40" s="71"/>
      <c r="X40" s="71"/>
      <c r="Y40" s="71"/>
      <c r="Z40" s="72"/>
      <c r="AA40" s="115"/>
      <c r="AB40" s="73"/>
      <c r="AC40" s="71"/>
      <c r="AD40" s="71"/>
      <c r="AE40" s="71"/>
      <c r="AF40" s="72"/>
      <c r="AG40" s="118"/>
      <c r="AH40" s="73"/>
      <c r="AI40" s="71"/>
      <c r="AJ40" s="71"/>
      <c r="AK40" s="71"/>
      <c r="AL40" s="72"/>
      <c r="AM40" s="110"/>
      <c r="AN40" s="79" t="str">
        <f t="shared" si="1"/>
        <v/>
      </c>
      <c r="AO40" s="80" t="str" cm="1">
        <f t="array" ref="AO40">IF(LEN(TRIM(B40))=0, "", COUNTA($D$11:$AL$11) - SUM(COUNTIF(D40:AL40, {"x","◢"})))</f>
        <v/>
      </c>
      <c r="AP40" s="147"/>
      <c r="AQ40" s="148"/>
      <c r="AR40" s="148"/>
      <c r="AS40" s="148"/>
      <c r="AT40" s="148"/>
      <c r="AU40" s="149"/>
    </row>
    <row r="41" spans="1:47" ht="22.15" hidden="1" customHeight="1" x14ac:dyDescent="0.25">
      <c r="A41" s="116"/>
      <c r="B41" s="281"/>
      <c r="C41" s="282"/>
      <c r="D41" s="69"/>
      <c r="E41" s="70"/>
      <c r="F41" s="71"/>
      <c r="G41" s="71"/>
      <c r="H41" s="72"/>
      <c r="I41" s="115"/>
      <c r="J41" s="73"/>
      <c r="K41" s="71"/>
      <c r="L41" s="71"/>
      <c r="M41" s="71"/>
      <c r="N41" s="72"/>
      <c r="O41" s="115"/>
      <c r="P41" s="73"/>
      <c r="Q41" s="71"/>
      <c r="R41" s="71"/>
      <c r="S41" s="71"/>
      <c r="T41" s="72"/>
      <c r="U41" s="115"/>
      <c r="V41" s="73"/>
      <c r="W41" s="71"/>
      <c r="X41" s="71"/>
      <c r="Y41" s="71"/>
      <c r="Z41" s="72"/>
      <c r="AA41" s="115"/>
      <c r="AB41" s="73"/>
      <c r="AC41" s="71"/>
      <c r="AD41" s="71"/>
      <c r="AE41" s="71"/>
      <c r="AF41" s="72"/>
      <c r="AG41" s="118"/>
      <c r="AH41" s="73"/>
      <c r="AI41" s="71"/>
      <c r="AJ41" s="71"/>
      <c r="AK41" s="71"/>
      <c r="AL41" s="72"/>
      <c r="AM41" s="110"/>
      <c r="AN41" s="79" t="str">
        <f t="shared" si="1"/>
        <v/>
      </c>
      <c r="AO41" s="80" t="str" cm="1">
        <f t="array" ref="AO41">IF(LEN(TRIM(B41))=0, "", COUNTA($D$11:$AL$11) - SUM(COUNTIF(D41:AL41, {"x","◢"})))</f>
        <v/>
      </c>
      <c r="AP41" s="147"/>
      <c r="AQ41" s="148"/>
      <c r="AR41" s="148"/>
      <c r="AS41" s="148"/>
      <c r="AT41" s="148"/>
      <c r="AU41" s="149"/>
    </row>
    <row r="42" spans="1:47" ht="22.15" hidden="1" customHeight="1" x14ac:dyDescent="0.25">
      <c r="A42" s="116"/>
      <c r="B42" s="281"/>
      <c r="C42" s="282"/>
      <c r="D42" s="69"/>
      <c r="E42" s="70"/>
      <c r="F42" s="71"/>
      <c r="G42" s="71"/>
      <c r="H42" s="72"/>
      <c r="I42" s="115"/>
      <c r="J42" s="73"/>
      <c r="K42" s="71"/>
      <c r="L42" s="71"/>
      <c r="M42" s="71"/>
      <c r="N42" s="72"/>
      <c r="O42" s="115"/>
      <c r="P42" s="73"/>
      <c r="Q42" s="71"/>
      <c r="R42" s="71"/>
      <c r="S42" s="71"/>
      <c r="T42" s="72"/>
      <c r="U42" s="115"/>
      <c r="V42" s="73"/>
      <c r="W42" s="71"/>
      <c r="X42" s="71"/>
      <c r="Y42" s="71"/>
      <c r="Z42" s="72"/>
      <c r="AA42" s="115"/>
      <c r="AB42" s="73"/>
      <c r="AC42" s="71"/>
      <c r="AD42" s="71"/>
      <c r="AE42" s="71"/>
      <c r="AF42" s="72"/>
      <c r="AG42" s="118"/>
      <c r="AH42" s="73"/>
      <c r="AI42" s="71"/>
      <c r="AJ42" s="71"/>
      <c r="AK42" s="71"/>
      <c r="AL42" s="72"/>
      <c r="AM42" s="110"/>
      <c r="AN42" s="79" t="str">
        <f t="shared" si="1"/>
        <v/>
      </c>
      <c r="AO42" s="80" t="str" cm="1">
        <f t="array" ref="AO42">IF(LEN(TRIM(B42))=0, "", COUNTA($D$11:$AL$11) - SUM(COUNTIF(D42:AL42, {"x","◢"})))</f>
        <v/>
      </c>
      <c r="AP42" s="147"/>
      <c r="AQ42" s="148"/>
      <c r="AR42" s="148"/>
      <c r="AS42" s="148"/>
      <c r="AT42" s="148"/>
      <c r="AU42" s="149"/>
    </row>
    <row r="43" spans="1:47" ht="22.15" hidden="1" customHeight="1" x14ac:dyDescent="0.25">
      <c r="A43" s="116"/>
      <c r="B43" s="281"/>
      <c r="C43" s="282"/>
      <c r="D43" s="69"/>
      <c r="E43" s="70"/>
      <c r="F43" s="71"/>
      <c r="G43" s="71"/>
      <c r="H43" s="72"/>
      <c r="I43" s="115"/>
      <c r="J43" s="73"/>
      <c r="K43" s="71"/>
      <c r="L43" s="71"/>
      <c r="M43" s="71"/>
      <c r="N43" s="72"/>
      <c r="O43" s="115"/>
      <c r="P43" s="73"/>
      <c r="Q43" s="71"/>
      <c r="R43" s="71"/>
      <c r="S43" s="71"/>
      <c r="T43" s="72"/>
      <c r="U43" s="115"/>
      <c r="V43" s="73"/>
      <c r="W43" s="71"/>
      <c r="X43" s="71"/>
      <c r="Y43" s="71"/>
      <c r="Z43" s="72"/>
      <c r="AA43" s="115"/>
      <c r="AB43" s="73"/>
      <c r="AC43" s="71"/>
      <c r="AD43" s="71"/>
      <c r="AE43" s="71"/>
      <c r="AF43" s="72"/>
      <c r="AG43" s="118"/>
      <c r="AH43" s="73"/>
      <c r="AI43" s="71"/>
      <c r="AJ43" s="71"/>
      <c r="AK43" s="71"/>
      <c r="AL43" s="72"/>
      <c r="AM43" s="110"/>
      <c r="AN43" s="79" t="str">
        <f t="shared" si="1"/>
        <v/>
      </c>
      <c r="AO43" s="80" t="str" cm="1">
        <f t="array" ref="AO43">IF(LEN(TRIM(B43))=0, "", COUNTA($D$11:$AL$11) - SUM(COUNTIF(D43:AL43, {"x","◢"})))</f>
        <v/>
      </c>
      <c r="AP43" s="147"/>
      <c r="AQ43" s="148"/>
      <c r="AR43" s="148"/>
      <c r="AS43" s="148"/>
      <c r="AT43" s="148"/>
      <c r="AU43" s="149"/>
    </row>
    <row r="44" spans="1:47" ht="22.15" hidden="1" customHeight="1" x14ac:dyDescent="0.25">
      <c r="A44" s="116"/>
      <c r="B44" s="281"/>
      <c r="C44" s="282"/>
      <c r="D44" s="69"/>
      <c r="E44" s="70"/>
      <c r="F44" s="71"/>
      <c r="G44" s="71"/>
      <c r="H44" s="72"/>
      <c r="I44" s="115"/>
      <c r="J44" s="73"/>
      <c r="K44" s="71"/>
      <c r="L44" s="71"/>
      <c r="M44" s="71"/>
      <c r="N44" s="72"/>
      <c r="O44" s="115"/>
      <c r="P44" s="73"/>
      <c r="Q44" s="71"/>
      <c r="R44" s="71"/>
      <c r="S44" s="71"/>
      <c r="T44" s="72"/>
      <c r="U44" s="115"/>
      <c r="V44" s="73"/>
      <c r="W44" s="71"/>
      <c r="X44" s="71"/>
      <c r="Y44" s="71"/>
      <c r="Z44" s="72"/>
      <c r="AA44" s="115"/>
      <c r="AB44" s="73"/>
      <c r="AC44" s="71"/>
      <c r="AD44" s="71"/>
      <c r="AE44" s="71"/>
      <c r="AF44" s="72"/>
      <c r="AG44" s="118"/>
      <c r="AH44" s="73"/>
      <c r="AI44" s="71"/>
      <c r="AJ44" s="71"/>
      <c r="AK44" s="71"/>
      <c r="AL44" s="72"/>
      <c r="AM44" s="110"/>
      <c r="AN44" s="79"/>
      <c r="AO44" s="80"/>
      <c r="AP44" s="107"/>
      <c r="AQ44" s="108"/>
      <c r="AR44" s="108"/>
      <c r="AS44" s="108"/>
      <c r="AT44" s="108"/>
      <c r="AU44" s="109"/>
    </row>
    <row r="45" spans="1:47" ht="22.15" hidden="1" customHeight="1" x14ac:dyDescent="0.25">
      <c r="A45" s="116"/>
      <c r="B45" s="281"/>
      <c r="C45" s="282"/>
      <c r="D45" s="69"/>
      <c r="E45" s="70"/>
      <c r="F45" s="71"/>
      <c r="G45" s="71"/>
      <c r="H45" s="72"/>
      <c r="I45" s="115"/>
      <c r="J45" s="73"/>
      <c r="K45" s="71"/>
      <c r="L45" s="71"/>
      <c r="M45" s="71"/>
      <c r="N45" s="72"/>
      <c r="O45" s="115"/>
      <c r="P45" s="73"/>
      <c r="Q45" s="71"/>
      <c r="R45" s="71"/>
      <c r="S45" s="71"/>
      <c r="T45" s="72"/>
      <c r="U45" s="115"/>
      <c r="V45" s="73"/>
      <c r="W45" s="71"/>
      <c r="X45" s="71"/>
      <c r="Y45" s="71"/>
      <c r="Z45" s="72"/>
      <c r="AA45" s="115"/>
      <c r="AB45" s="73"/>
      <c r="AC45" s="71"/>
      <c r="AD45" s="71"/>
      <c r="AE45" s="71"/>
      <c r="AF45" s="72"/>
      <c r="AG45" s="118"/>
      <c r="AH45" s="73"/>
      <c r="AI45" s="71"/>
      <c r="AJ45" s="71"/>
      <c r="AK45" s="71"/>
      <c r="AL45" s="72"/>
      <c r="AM45" s="110"/>
      <c r="AN45" s="79"/>
      <c r="AO45" s="80"/>
      <c r="AP45" s="107"/>
      <c r="AQ45" s="108"/>
      <c r="AR45" s="108"/>
      <c r="AS45" s="108"/>
      <c r="AT45" s="108"/>
      <c r="AU45" s="109"/>
    </row>
    <row r="46" spans="1:47" ht="22.15" hidden="1" customHeight="1" x14ac:dyDescent="0.25">
      <c r="A46" s="116"/>
      <c r="B46" s="281"/>
      <c r="C46" s="282"/>
      <c r="D46" s="69"/>
      <c r="E46" s="70"/>
      <c r="F46" s="71"/>
      <c r="G46" s="71"/>
      <c r="H46" s="72"/>
      <c r="I46" s="115"/>
      <c r="J46" s="73"/>
      <c r="K46" s="71"/>
      <c r="L46" s="71"/>
      <c r="M46" s="71"/>
      <c r="N46" s="72"/>
      <c r="O46" s="115"/>
      <c r="P46" s="73"/>
      <c r="Q46" s="71"/>
      <c r="R46" s="71"/>
      <c r="S46" s="71"/>
      <c r="T46" s="72"/>
      <c r="U46" s="115"/>
      <c r="V46" s="73"/>
      <c r="W46" s="71"/>
      <c r="X46" s="71"/>
      <c r="Y46" s="71"/>
      <c r="Z46" s="72"/>
      <c r="AA46" s="115"/>
      <c r="AB46" s="73"/>
      <c r="AC46" s="71"/>
      <c r="AD46" s="71"/>
      <c r="AE46" s="71"/>
      <c r="AF46" s="72"/>
      <c r="AG46" s="118"/>
      <c r="AH46" s="73"/>
      <c r="AI46" s="71"/>
      <c r="AJ46" s="71"/>
      <c r="AK46" s="71"/>
      <c r="AL46" s="72"/>
      <c r="AM46" s="110"/>
      <c r="AN46" s="79"/>
      <c r="AO46" s="80"/>
      <c r="AP46" s="107"/>
      <c r="AQ46" s="108"/>
      <c r="AR46" s="108"/>
      <c r="AS46" s="108"/>
      <c r="AT46" s="108"/>
      <c r="AU46" s="109"/>
    </row>
    <row r="47" spans="1:47" ht="22.15" hidden="1" customHeight="1" x14ac:dyDescent="0.25">
      <c r="A47" s="116"/>
      <c r="B47" s="281"/>
      <c r="C47" s="282"/>
      <c r="D47" s="69"/>
      <c r="E47" s="70"/>
      <c r="F47" s="71"/>
      <c r="G47" s="71"/>
      <c r="H47" s="72"/>
      <c r="I47" s="115"/>
      <c r="J47" s="73"/>
      <c r="K47" s="71"/>
      <c r="L47" s="71"/>
      <c r="M47" s="71"/>
      <c r="N47" s="72"/>
      <c r="O47" s="115"/>
      <c r="P47" s="73"/>
      <c r="Q47" s="71"/>
      <c r="R47" s="71"/>
      <c r="S47" s="71"/>
      <c r="T47" s="72"/>
      <c r="U47" s="115"/>
      <c r="V47" s="73"/>
      <c r="W47" s="71"/>
      <c r="X47" s="71"/>
      <c r="Y47" s="71"/>
      <c r="Z47" s="72"/>
      <c r="AA47" s="115"/>
      <c r="AB47" s="73"/>
      <c r="AC47" s="71"/>
      <c r="AD47" s="71"/>
      <c r="AE47" s="71"/>
      <c r="AF47" s="72"/>
      <c r="AG47" s="118"/>
      <c r="AH47" s="73"/>
      <c r="AI47" s="71"/>
      <c r="AJ47" s="71"/>
      <c r="AK47" s="71"/>
      <c r="AL47" s="72"/>
      <c r="AM47" s="110"/>
      <c r="AN47" s="79"/>
      <c r="AO47" s="80"/>
      <c r="AP47" s="107"/>
      <c r="AQ47" s="108"/>
      <c r="AR47" s="108"/>
      <c r="AS47" s="108"/>
      <c r="AT47" s="108"/>
      <c r="AU47" s="109"/>
    </row>
    <row r="48" spans="1:47" ht="22.15" hidden="1" customHeight="1" x14ac:dyDescent="0.25">
      <c r="A48" s="116"/>
      <c r="B48" s="281"/>
      <c r="C48" s="282"/>
      <c r="D48" s="69"/>
      <c r="E48" s="70"/>
      <c r="F48" s="71"/>
      <c r="G48" s="71"/>
      <c r="H48" s="72"/>
      <c r="I48" s="115"/>
      <c r="J48" s="73"/>
      <c r="K48" s="71"/>
      <c r="L48" s="71"/>
      <c r="M48" s="71"/>
      <c r="N48" s="72"/>
      <c r="O48" s="115"/>
      <c r="P48" s="73"/>
      <c r="Q48" s="71"/>
      <c r="R48" s="71"/>
      <c r="S48" s="71"/>
      <c r="T48" s="72"/>
      <c r="U48" s="115"/>
      <c r="V48" s="73"/>
      <c r="W48" s="71"/>
      <c r="X48" s="71"/>
      <c r="Y48" s="71"/>
      <c r="Z48" s="72"/>
      <c r="AA48" s="115"/>
      <c r="AB48" s="73"/>
      <c r="AC48" s="71"/>
      <c r="AD48" s="71"/>
      <c r="AE48" s="71"/>
      <c r="AF48" s="72"/>
      <c r="AG48" s="118"/>
      <c r="AH48" s="73"/>
      <c r="AI48" s="71"/>
      <c r="AJ48" s="71"/>
      <c r="AK48" s="71"/>
      <c r="AL48" s="72"/>
      <c r="AM48" s="110"/>
      <c r="AN48" s="79"/>
      <c r="AO48" s="80"/>
      <c r="AP48" s="107"/>
      <c r="AQ48" s="108"/>
      <c r="AR48" s="108"/>
      <c r="AS48" s="108"/>
      <c r="AT48" s="108"/>
      <c r="AU48" s="109"/>
    </row>
    <row r="49" spans="1:47" ht="22.15" hidden="1" customHeight="1" x14ac:dyDescent="0.25">
      <c r="A49" s="116"/>
      <c r="B49" s="281"/>
      <c r="C49" s="282"/>
      <c r="D49" s="69"/>
      <c r="E49" s="70"/>
      <c r="F49" s="71"/>
      <c r="G49" s="71"/>
      <c r="H49" s="72"/>
      <c r="I49" s="115"/>
      <c r="J49" s="73"/>
      <c r="K49" s="71"/>
      <c r="L49" s="71"/>
      <c r="M49" s="71"/>
      <c r="N49" s="72"/>
      <c r="O49" s="115"/>
      <c r="P49" s="73"/>
      <c r="Q49" s="71"/>
      <c r="R49" s="71"/>
      <c r="S49" s="71"/>
      <c r="T49" s="72"/>
      <c r="U49" s="115"/>
      <c r="V49" s="73"/>
      <c r="W49" s="71"/>
      <c r="X49" s="71"/>
      <c r="Y49" s="71"/>
      <c r="Z49" s="72"/>
      <c r="AA49" s="115"/>
      <c r="AB49" s="73"/>
      <c r="AC49" s="71"/>
      <c r="AD49" s="71"/>
      <c r="AE49" s="71"/>
      <c r="AF49" s="72"/>
      <c r="AG49" s="118"/>
      <c r="AH49" s="73"/>
      <c r="AI49" s="71"/>
      <c r="AJ49" s="71"/>
      <c r="AK49" s="71"/>
      <c r="AL49" s="72"/>
      <c r="AM49" s="110"/>
      <c r="AN49" s="79"/>
      <c r="AO49" s="80"/>
      <c r="AP49" s="107"/>
      <c r="AQ49" s="108"/>
      <c r="AR49" s="108"/>
      <c r="AS49" s="108"/>
      <c r="AT49" s="108"/>
      <c r="AU49" s="109"/>
    </row>
    <row r="50" spans="1:47" ht="22.15" hidden="1" customHeight="1" x14ac:dyDescent="0.25">
      <c r="A50" s="116"/>
      <c r="B50" s="281"/>
      <c r="C50" s="282"/>
      <c r="D50" s="69"/>
      <c r="E50" s="70"/>
      <c r="F50" s="71"/>
      <c r="G50" s="71"/>
      <c r="H50" s="72"/>
      <c r="I50" s="115"/>
      <c r="J50" s="73"/>
      <c r="K50" s="71"/>
      <c r="L50" s="71"/>
      <c r="M50" s="71"/>
      <c r="N50" s="72"/>
      <c r="O50" s="115"/>
      <c r="P50" s="73"/>
      <c r="Q50" s="71"/>
      <c r="R50" s="71"/>
      <c r="S50" s="71"/>
      <c r="T50" s="72"/>
      <c r="U50" s="115"/>
      <c r="V50" s="73"/>
      <c r="W50" s="71"/>
      <c r="X50" s="71"/>
      <c r="Y50" s="71"/>
      <c r="Z50" s="72"/>
      <c r="AA50" s="115"/>
      <c r="AB50" s="73"/>
      <c r="AC50" s="71"/>
      <c r="AD50" s="71"/>
      <c r="AE50" s="71"/>
      <c r="AF50" s="72"/>
      <c r="AG50" s="118"/>
      <c r="AH50" s="73"/>
      <c r="AI50" s="71"/>
      <c r="AJ50" s="71"/>
      <c r="AK50" s="71"/>
      <c r="AL50" s="72"/>
      <c r="AM50" s="110"/>
      <c r="AN50" s="79"/>
      <c r="AO50" s="80"/>
      <c r="AP50" s="107"/>
      <c r="AQ50" s="108"/>
      <c r="AR50" s="108"/>
      <c r="AS50" s="108"/>
      <c r="AT50" s="108"/>
      <c r="AU50" s="109"/>
    </row>
    <row r="51" spans="1:47" ht="22.15" hidden="1" customHeight="1" x14ac:dyDescent="0.25">
      <c r="A51" s="116"/>
      <c r="B51" s="281"/>
      <c r="C51" s="282"/>
      <c r="D51" s="69"/>
      <c r="E51" s="70"/>
      <c r="F51" s="71"/>
      <c r="G51" s="71"/>
      <c r="H51" s="72"/>
      <c r="I51" s="115"/>
      <c r="J51" s="73"/>
      <c r="K51" s="71"/>
      <c r="L51" s="71"/>
      <c r="M51" s="71"/>
      <c r="N51" s="72"/>
      <c r="O51" s="115"/>
      <c r="P51" s="73"/>
      <c r="Q51" s="71"/>
      <c r="R51" s="71"/>
      <c r="S51" s="71"/>
      <c r="T51" s="72"/>
      <c r="U51" s="115"/>
      <c r="V51" s="73"/>
      <c r="W51" s="71"/>
      <c r="X51" s="71"/>
      <c r="Y51" s="71"/>
      <c r="Z51" s="72"/>
      <c r="AA51" s="115"/>
      <c r="AB51" s="73"/>
      <c r="AC51" s="71"/>
      <c r="AD51" s="71"/>
      <c r="AE51" s="71"/>
      <c r="AF51" s="72"/>
      <c r="AG51" s="118"/>
      <c r="AH51" s="73"/>
      <c r="AI51" s="71"/>
      <c r="AJ51" s="71"/>
      <c r="AK51" s="71"/>
      <c r="AL51" s="72"/>
      <c r="AM51" s="110"/>
      <c r="AN51" s="79"/>
      <c r="AO51" s="80"/>
      <c r="AP51" s="107"/>
      <c r="AQ51" s="108"/>
      <c r="AR51" s="108"/>
      <c r="AS51" s="108"/>
      <c r="AT51" s="108"/>
      <c r="AU51" s="109"/>
    </row>
    <row r="52" spans="1:47" ht="22.15" hidden="1" customHeight="1" x14ac:dyDescent="0.25">
      <c r="A52" s="116"/>
      <c r="B52" s="281"/>
      <c r="C52" s="282"/>
      <c r="D52" s="69"/>
      <c r="E52" s="70"/>
      <c r="F52" s="71"/>
      <c r="G52" s="71"/>
      <c r="H52" s="72"/>
      <c r="I52" s="115"/>
      <c r="J52" s="73"/>
      <c r="K52" s="71"/>
      <c r="L52" s="71"/>
      <c r="M52" s="71"/>
      <c r="N52" s="72"/>
      <c r="O52" s="115"/>
      <c r="P52" s="73"/>
      <c r="Q52" s="71"/>
      <c r="R52" s="71"/>
      <c r="S52" s="71"/>
      <c r="T52" s="72"/>
      <c r="U52" s="115"/>
      <c r="V52" s="73"/>
      <c r="W52" s="71"/>
      <c r="X52" s="71"/>
      <c r="Y52" s="71"/>
      <c r="Z52" s="72"/>
      <c r="AA52" s="115"/>
      <c r="AB52" s="73"/>
      <c r="AC52" s="71"/>
      <c r="AD52" s="71"/>
      <c r="AE52" s="71"/>
      <c r="AF52" s="72"/>
      <c r="AG52" s="118"/>
      <c r="AH52" s="73"/>
      <c r="AI52" s="71"/>
      <c r="AJ52" s="71"/>
      <c r="AK52" s="71"/>
      <c r="AL52" s="72"/>
      <c r="AM52" s="110"/>
      <c r="AN52" s="79"/>
      <c r="AO52" s="80"/>
      <c r="AP52" s="107"/>
      <c r="AQ52" s="108"/>
      <c r="AR52" s="108"/>
      <c r="AS52" s="108"/>
      <c r="AT52" s="108"/>
      <c r="AU52" s="109"/>
    </row>
    <row r="53" spans="1:47" ht="22.15" hidden="1" customHeight="1" x14ac:dyDescent="0.25">
      <c r="A53" s="116"/>
      <c r="B53" s="281"/>
      <c r="C53" s="282"/>
      <c r="D53" s="69"/>
      <c r="E53" s="70"/>
      <c r="F53" s="71"/>
      <c r="G53" s="71"/>
      <c r="H53" s="72"/>
      <c r="I53" s="115"/>
      <c r="J53" s="73"/>
      <c r="K53" s="71"/>
      <c r="L53" s="71"/>
      <c r="M53" s="71"/>
      <c r="N53" s="72"/>
      <c r="O53" s="115"/>
      <c r="P53" s="73"/>
      <c r="Q53" s="71"/>
      <c r="R53" s="71"/>
      <c r="S53" s="71"/>
      <c r="T53" s="72"/>
      <c r="U53" s="115"/>
      <c r="V53" s="73"/>
      <c r="W53" s="71"/>
      <c r="X53" s="71"/>
      <c r="Y53" s="71"/>
      <c r="Z53" s="72"/>
      <c r="AA53" s="115"/>
      <c r="AB53" s="73"/>
      <c r="AC53" s="71"/>
      <c r="AD53" s="71"/>
      <c r="AE53" s="71"/>
      <c r="AF53" s="72"/>
      <c r="AG53" s="118"/>
      <c r="AH53" s="73"/>
      <c r="AI53" s="71"/>
      <c r="AJ53" s="71"/>
      <c r="AK53" s="71"/>
      <c r="AL53" s="72"/>
      <c r="AM53" s="110"/>
      <c r="AN53" s="79"/>
      <c r="AO53" s="80"/>
      <c r="AP53" s="107"/>
      <c r="AQ53" s="108"/>
      <c r="AR53" s="108"/>
      <c r="AS53" s="108"/>
      <c r="AT53" s="108"/>
      <c r="AU53" s="109"/>
    </row>
    <row r="54" spans="1:47" ht="22.15" hidden="1" customHeight="1" x14ac:dyDescent="0.25">
      <c r="A54" s="116"/>
      <c r="B54" s="281"/>
      <c r="C54" s="282"/>
      <c r="D54" s="69"/>
      <c r="E54" s="70"/>
      <c r="F54" s="71"/>
      <c r="G54" s="71"/>
      <c r="H54" s="72"/>
      <c r="I54" s="115"/>
      <c r="J54" s="73"/>
      <c r="K54" s="71"/>
      <c r="L54" s="71"/>
      <c r="M54" s="71"/>
      <c r="N54" s="72"/>
      <c r="O54" s="115"/>
      <c r="P54" s="73"/>
      <c r="Q54" s="71"/>
      <c r="R54" s="71"/>
      <c r="S54" s="71"/>
      <c r="T54" s="72"/>
      <c r="U54" s="115"/>
      <c r="V54" s="73"/>
      <c r="W54" s="71"/>
      <c r="X54" s="71"/>
      <c r="Y54" s="71"/>
      <c r="Z54" s="72"/>
      <c r="AA54" s="115"/>
      <c r="AB54" s="73"/>
      <c r="AC54" s="71"/>
      <c r="AD54" s="71"/>
      <c r="AE54" s="71"/>
      <c r="AF54" s="72"/>
      <c r="AG54" s="118"/>
      <c r="AH54" s="73"/>
      <c r="AI54" s="71"/>
      <c r="AJ54" s="71"/>
      <c r="AK54" s="71"/>
      <c r="AL54" s="72"/>
      <c r="AM54" s="110"/>
      <c r="AN54" s="79" t="str">
        <f t="shared" ref="AN54:AN63" si="2">IF(COUNTIF(D54:AL54, "x")=0, "", COUNTIF(D54:AL54, "x"))</f>
        <v/>
      </c>
      <c r="AO54" s="80" t="str" cm="1">
        <f t="array" ref="AO54">IF(LEN(TRIM(B54))=0, "", COUNTA($D$11:$AL$11) - SUM(COUNTIF(D54:AL54, {"x","◢"})))</f>
        <v/>
      </c>
      <c r="AP54" s="147"/>
      <c r="AQ54" s="148"/>
      <c r="AR54" s="148"/>
      <c r="AS54" s="148"/>
      <c r="AT54" s="148"/>
      <c r="AU54" s="149"/>
    </row>
    <row r="55" spans="1:47" ht="22.15" hidden="1" customHeight="1" x14ac:dyDescent="0.25">
      <c r="A55" s="116"/>
      <c r="B55" s="281"/>
      <c r="C55" s="282"/>
      <c r="D55" s="69"/>
      <c r="E55" s="70"/>
      <c r="F55" s="71"/>
      <c r="G55" s="71"/>
      <c r="H55" s="72"/>
      <c r="I55" s="115"/>
      <c r="J55" s="73"/>
      <c r="K55" s="71"/>
      <c r="L55" s="71"/>
      <c r="M55" s="71"/>
      <c r="N55" s="72"/>
      <c r="O55" s="115"/>
      <c r="P55" s="73"/>
      <c r="Q55" s="71"/>
      <c r="R55" s="71"/>
      <c r="S55" s="71"/>
      <c r="T55" s="72"/>
      <c r="U55" s="115"/>
      <c r="V55" s="73"/>
      <c r="W55" s="71"/>
      <c r="X55" s="71"/>
      <c r="Y55" s="71"/>
      <c r="Z55" s="72"/>
      <c r="AA55" s="115"/>
      <c r="AB55" s="73"/>
      <c r="AC55" s="71"/>
      <c r="AD55" s="71"/>
      <c r="AE55" s="71"/>
      <c r="AF55" s="72"/>
      <c r="AG55" s="118"/>
      <c r="AH55" s="73"/>
      <c r="AI55" s="71"/>
      <c r="AJ55" s="71"/>
      <c r="AK55" s="71"/>
      <c r="AL55" s="72"/>
      <c r="AM55" s="110"/>
      <c r="AN55" s="79" t="str">
        <f t="shared" si="2"/>
        <v/>
      </c>
      <c r="AO55" s="80" t="str" cm="1">
        <f t="array" ref="AO55">IF(LEN(TRIM(B55))=0, "", COUNTA($D$11:$AL$11) - SUM(COUNTIF(D55:AL55, {"x","◢"})))</f>
        <v/>
      </c>
      <c r="AP55" s="147"/>
      <c r="AQ55" s="148"/>
      <c r="AR55" s="148"/>
      <c r="AS55" s="148"/>
      <c r="AT55" s="148"/>
      <c r="AU55" s="149"/>
    </row>
    <row r="56" spans="1:47" ht="22.15" hidden="1" customHeight="1" x14ac:dyDescent="0.25">
      <c r="A56" s="116"/>
      <c r="B56" s="281"/>
      <c r="C56" s="282"/>
      <c r="D56" s="69"/>
      <c r="E56" s="70"/>
      <c r="F56" s="71"/>
      <c r="G56" s="71"/>
      <c r="H56" s="72"/>
      <c r="I56" s="115"/>
      <c r="J56" s="73"/>
      <c r="K56" s="71"/>
      <c r="L56" s="71"/>
      <c r="M56" s="71"/>
      <c r="N56" s="72"/>
      <c r="O56" s="115"/>
      <c r="P56" s="73"/>
      <c r="Q56" s="71"/>
      <c r="R56" s="71"/>
      <c r="S56" s="71"/>
      <c r="T56" s="72"/>
      <c r="U56" s="115"/>
      <c r="V56" s="73"/>
      <c r="W56" s="71"/>
      <c r="X56" s="71"/>
      <c r="Y56" s="71"/>
      <c r="Z56" s="72"/>
      <c r="AA56" s="115"/>
      <c r="AB56" s="73"/>
      <c r="AC56" s="71"/>
      <c r="AD56" s="71"/>
      <c r="AE56" s="71"/>
      <c r="AF56" s="72"/>
      <c r="AG56" s="118"/>
      <c r="AH56" s="73"/>
      <c r="AI56" s="71"/>
      <c r="AJ56" s="71"/>
      <c r="AK56" s="71"/>
      <c r="AL56" s="72"/>
      <c r="AM56" s="110"/>
      <c r="AN56" s="79" t="str">
        <f t="shared" si="2"/>
        <v/>
      </c>
      <c r="AO56" s="80" t="str" cm="1">
        <f t="array" ref="AO56">IF(LEN(TRIM(B56))=0, "", COUNTA($D$11:$AL$11) - SUM(COUNTIF(D56:AL56, {"x","◢"})))</f>
        <v/>
      </c>
      <c r="AP56" s="147"/>
      <c r="AQ56" s="148"/>
      <c r="AR56" s="148"/>
      <c r="AS56" s="148"/>
      <c r="AT56" s="148"/>
      <c r="AU56" s="149"/>
    </row>
    <row r="57" spans="1:47" ht="22.15" hidden="1" customHeight="1" x14ac:dyDescent="0.25">
      <c r="A57" s="116"/>
      <c r="B57" s="281"/>
      <c r="C57" s="282"/>
      <c r="D57" s="69"/>
      <c r="E57" s="70"/>
      <c r="F57" s="71"/>
      <c r="G57" s="71"/>
      <c r="H57" s="72"/>
      <c r="I57" s="115"/>
      <c r="J57" s="73"/>
      <c r="K57" s="71"/>
      <c r="L57" s="71"/>
      <c r="M57" s="71"/>
      <c r="N57" s="72"/>
      <c r="O57" s="115"/>
      <c r="P57" s="73"/>
      <c r="Q57" s="71"/>
      <c r="R57" s="71"/>
      <c r="S57" s="71"/>
      <c r="T57" s="72"/>
      <c r="U57" s="115"/>
      <c r="V57" s="73"/>
      <c r="W57" s="71"/>
      <c r="X57" s="71"/>
      <c r="Y57" s="71"/>
      <c r="Z57" s="72"/>
      <c r="AA57" s="115"/>
      <c r="AB57" s="73"/>
      <c r="AC57" s="71"/>
      <c r="AD57" s="71"/>
      <c r="AE57" s="71"/>
      <c r="AF57" s="72"/>
      <c r="AG57" s="118"/>
      <c r="AH57" s="73"/>
      <c r="AI57" s="71"/>
      <c r="AJ57" s="71"/>
      <c r="AK57" s="71"/>
      <c r="AL57" s="72"/>
      <c r="AM57" s="110"/>
      <c r="AN57" s="79" t="str">
        <f t="shared" si="2"/>
        <v/>
      </c>
      <c r="AO57" s="80" t="str" cm="1">
        <f t="array" ref="AO57">IF(LEN(TRIM(B57))=0, "", COUNTA($D$11:$AL$11) - SUM(COUNTIF(D57:AL57, {"x","◢"})))</f>
        <v/>
      </c>
      <c r="AP57" s="147"/>
      <c r="AQ57" s="148"/>
      <c r="AR57" s="148"/>
      <c r="AS57" s="148"/>
      <c r="AT57" s="148"/>
      <c r="AU57" s="149"/>
    </row>
    <row r="58" spans="1:47" ht="22.15" hidden="1" customHeight="1" x14ac:dyDescent="0.25">
      <c r="A58" s="116"/>
      <c r="B58" s="281"/>
      <c r="C58" s="282"/>
      <c r="D58" s="69"/>
      <c r="E58" s="70"/>
      <c r="F58" s="71"/>
      <c r="G58" s="71"/>
      <c r="H58" s="72"/>
      <c r="I58" s="115"/>
      <c r="J58" s="73"/>
      <c r="K58" s="71"/>
      <c r="L58" s="71"/>
      <c r="M58" s="71"/>
      <c r="N58" s="72"/>
      <c r="O58" s="115"/>
      <c r="P58" s="73"/>
      <c r="Q58" s="71"/>
      <c r="R58" s="71"/>
      <c r="S58" s="71"/>
      <c r="T58" s="72"/>
      <c r="U58" s="115"/>
      <c r="V58" s="73"/>
      <c r="W58" s="71"/>
      <c r="X58" s="71"/>
      <c r="Y58" s="71"/>
      <c r="Z58" s="72"/>
      <c r="AA58" s="115"/>
      <c r="AB58" s="73"/>
      <c r="AC58" s="71"/>
      <c r="AD58" s="71"/>
      <c r="AE58" s="71"/>
      <c r="AF58" s="72"/>
      <c r="AG58" s="118"/>
      <c r="AH58" s="73"/>
      <c r="AI58" s="71"/>
      <c r="AJ58" s="71"/>
      <c r="AK58" s="71"/>
      <c r="AL58" s="72"/>
      <c r="AM58" s="110"/>
      <c r="AN58" s="79" t="str">
        <f t="shared" si="2"/>
        <v/>
      </c>
      <c r="AO58" s="80" t="str" cm="1">
        <f t="array" ref="AO58">IF(LEN(TRIM(B58))=0, "", COUNTA($D$11:$AL$11) - SUM(COUNTIF(D58:AL58, {"x","◢"})))</f>
        <v/>
      </c>
      <c r="AP58" s="147"/>
      <c r="AQ58" s="148"/>
      <c r="AR58" s="148"/>
      <c r="AS58" s="148"/>
      <c r="AT58" s="148"/>
      <c r="AU58" s="149"/>
    </row>
    <row r="59" spans="1:47" ht="22.15" hidden="1" customHeight="1" x14ac:dyDescent="0.25">
      <c r="A59" s="116"/>
      <c r="B59" s="281"/>
      <c r="C59" s="282"/>
      <c r="D59" s="69"/>
      <c r="E59" s="70"/>
      <c r="F59" s="71"/>
      <c r="G59" s="71"/>
      <c r="H59" s="72"/>
      <c r="I59" s="115"/>
      <c r="J59" s="73"/>
      <c r="K59" s="71"/>
      <c r="L59" s="71"/>
      <c r="M59" s="71"/>
      <c r="N59" s="72"/>
      <c r="O59" s="115"/>
      <c r="P59" s="73"/>
      <c r="Q59" s="71"/>
      <c r="R59" s="71"/>
      <c r="S59" s="71"/>
      <c r="T59" s="72"/>
      <c r="U59" s="115"/>
      <c r="V59" s="73"/>
      <c r="W59" s="71"/>
      <c r="X59" s="71"/>
      <c r="Y59" s="71"/>
      <c r="Z59" s="72"/>
      <c r="AA59" s="115"/>
      <c r="AB59" s="73"/>
      <c r="AC59" s="71"/>
      <c r="AD59" s="71"/>
      <c r="AE59" s="71"/>
      <c r="AF59" s="72"/>
      <c r="AG59" s="118"/>
      <c r="AH59" s="73"/>
      <c r="AI59" s="71"/>
      <c r="AJ59" s="71"/>
      <c r="AK59" s="71"/>
      <c r="AL59" s="72"/>
      <c r="AM59" s="110"/>
      <c r="AN59" s="79" t="str">
        <f t="shared" si="2"/>
        <v/>
      </c>
      <c r="AO59" s="80" t="str" cm="1">
        <f t="array" ref="AO59">IF(LEN(TRIM(B59))=0, "", COUNTA($D$11:$AL$11) - SUM(COUNTIF(D59:AL59, {"x","◢"})))</f>
        <v/>
      </c>
      <c r="AP59" s="147"/>
      <c r="AQ59" s="148"/>
      <c r="AR59" s="148"/>
      <c r="AS59" s="148"/>
      <c r="AT59" s="148"/>
      <c r="AU59" s="149"/>
    </row>
    <row r="60" spans="1:47" ht="22.15" hidden="1" customHeight="1" x14ac:dyDescent="0.25">
      <c r="A60" s="116"/>
      <c r="B60" s="281"/>
      <c r="C60" s="282"/>
      <c r="D60" s="69"/>
      <c r="E60" s="70"/>
      <c r="F60" s="71"/>
      <c r="G60" s="71"/>
      <c r="H60" s="72"/>
      <c r="I60" s="115"/>
      <c r="J60" s="73"/>
      <c r="K60" s="71"/>
      <c r="L60" s="71"/>
      <c r="M60" s="71"/>
      <c r="N60" s="72"/>
      <c r="O60" s="115"/>
      <c r="P60" s="73"/>
      <c r="Q60" s="71"/>
      <c r="R60" s="71"/>
      <c r="S60" s="71"/>
      <c r="T60" s="72"/>
      <c r="U60" s="115"/>
      <c r="V60" s="73"/>
      <c r="W60" s="71"/>
      <c r="X60" s="71"/>
      <c r="Y60" s="71"/>
      <c r="Z60" s="72"/>
      <c r="AA60" s="115"/>
      <c r="AB60" s="73"/>
      <c r="AC60" s="71"/>
      <c r="AD60" s="71"/>
      <c r="AE60" s="71"/>
      <c r="AF60" s="72"/>
      <c r="AG60" s="118"/>
      <c r="AH60" s="73"/>
      <c r="AI60" s="71"/>
      <c r="AJ60" s="71"/>
      <c r="AK60" s="71"/>
      <c r="AL60" s="72"/>
      <c r="AM60" s="110"/>
      <c r="AN60" s="79" t="str">
        <f t="shared" si="2"/>
        <v/>
      </c>
      <c r="AO60" s="80" t="str" cm="1">
        <f t="array" ref="AO60">IF(LEN(TRIM(B60))=0, "", COUNTA($D$11:$AL$11) - SUM(COUNTIF(D60:AL60, {"x","◢"})))</f>
        <v/>
      </c>
      <c r="AP60" s="147"/>
      <c r="AQ60" s="148"/>
      <c r="AR60" s="148"/>
      <c r="AS60" s="148"/>
      <c r="AT60" s="148"/>
      <c r="AU60" s="149"/>
    </row>
    <row r="61" spans="1:47" ht="22.15" hidden="1" customHeight="1" x14ac:dyDescent="0.25">
      <c r="A61" s="116"/>
      <c r="B61" s="281"/>
      <c r="C61" s="282"/>
      <c r="D61" s="69"/>
      <c r="E61" s="70"/>
      <c r="F61" s="71"/>
      <c r="G61" s="71"/>
      <c r="H61" s="72"/>
      <c r="I61" s="115"/>
      <c r="J61" s="73"/>
      <c r="K61" s="71"/>
      <c r="L61" s="71"/>
      <c r="M61" s="71"/>
      <c r="N61" s="72"/>
      <c r="O61" s="115"/>
      <c r="P61" s="73"/>
      <c r="Q61" s="71"/>
      <c r="R61" s="71"/>
      <c r="S61" s="71"/>
      <c r="T61" s="72"/>
      <c r="U61" s="115"/>
      <c r="V61" s="73"/>
      <c r="W61" s="71"/>
      <c r="X61" s="71"/>
      <c r="Y61" s="71"/>
      <c r="Z61" s="72"/>
      <c r="AA61" s="115"/>
      <c r="AB61" s="73"/>
      <c r="AC61" s="71"/>
      <c r="AD61" s="71"/>
      <c r="AE61" s="71"/>
      <c r="AF61" s="72"/>
      <c r="AG61" s="118"/>
      <c r="AH61" s="73"/>
      <c r="AI61" s="71"/>
      <c r="AJ61" s="71"/>
      <c r="AK61" s="71"/>
      <c r="AL61" s="72"/>
      <c r="AM61" s="110"/>
      <c r="AN61" s="79" t="str">
        <f t="shared" si="2"/>
        <v/>
      </c>
      <c r="AO61" s="80" t="str" cm="1">
        <f t="array" ref="AO61">IF(LEN(TRIM(B61))=0, "", COUNTA($D$11:$AL$11) - SUM(COUNTIF(D61:AL61, {"x","◢"})))</f>
        <v/>
      </c>
      <c r="AP61" s="147"/>
      <c r="AQ61" s="148"/>
      <c r="AR61" s="148"/>
      <c r="AS61" s="148"/>
      <c r="AT61" s="148"/>
      <c r="AU61" s="149"/>
    </row>
    <row r="62" spans="1:47" ht="22.15" hidden="1" customHeight="1" x14ac:dyDescent="0.25">
      <c r="A62" s="116"/>
      <c r="B62" s="281"/>
      <c r="C62" s="282"/>
      <c r="D62" s="69"/>
      <c r="E62" s="70"/>
      <c r="F62" s="71"/>
      <c r="G62" s="71"/>
      <c r="H62" s="72"/>
      <c r="I62" s="115"/>
      <c r="J62" s="73"/>
      <c r="K62" s="71"/>
      <c r="L62" s="71"/>
      <c r="M62" s="71"/>
      <c r="N62" s="72"/>
      <c r="O62" s="115"/>
      <c r="P62" s="73"/>
      <c r="Q62" s="71"/>
      <c r="R62" s="71"/>
      <c r="S62" s="71"/>
      <c r="T62" s="72"/>
      <c r="U62" s="115"/>
      <c r="V62" s="73"/>
      <c r="W62" s="71"/>
      <c r="X62" s="71"/>
      <c r="Y62" s="71"/>
      <c r="Z62" s="72"/>
      <c r="AA62" s="115"/>
      <c r="AB62" s="73"/>
      <c r="AC62" s="71"/>
      <c r="AD62" s="71"/>
      <c r="AE62" s="71"/>
      <c r="AF62" s="72"/>
      <c r="AG62" s="118"/>
      <c r="AH62" s="73"/>
      <c r="AI62" s="71"/>
      <c r="AJ62" s="71"/>
      <c r="AK62" s="71"/>
      <c r="AL62" s="72"/>
      <c r="AM62" s="110"/>
      <c r="AN62" s="79" t="str">
        <f t="shared" si="2"/>
        <v/>
      </c>
      <c r="AO62" s="80" t="str" cm="1">
        <f t="array" ref="AO62">IF(LEN(TRIM(B62))=0, "", COUNTA($D$11:$AL$11) - SUM(COUNTIF(D62:AL62, {"x","◢"})))</f>
        <v/>
      </c>
      <c r="AP62" s="147"/>
      <c r="AQ62" s="148"/>
      <c r="AR62" s="148"/>
      <c r="AS62" s="148"/>
      <c r="AT62" s="148"/>
      <c r="AU62" s="149"/>
    </row>
    <row r="63" spans="1:47" ht="22.15" hidden="1" customHeight="1" thickBot="1" x14ac:dyDescent="0.3">
      <c r="A63" s="116"/>
      <c r="B63" s="283"/>
      <c r="C63" s="284"/>
      <c r="D63" s="87"/>
      <c r="E63" s="88"/>
      <c r="F63" s="89"/>
      <c r="G63" s="89"/>
      <c r="H63" s="90"/>
      <c r="I63" s="117"/>
      <c r="J63" s="91"/>
      <c r="K63" s="89"/>
      <c r="L63" s="89"/>
      <c r="M63" s="89"/>
      <c r="N63" s="90"/>
      <c r="O63" s="117"/>
      <c r="P63" s="91"/>
      <c r="Q63" s="89"/>
      <c r="R63" s="89"/>
      <c r="S63" s="89"/>
      <c r="T63" s="90"/>
      <c r="U63" s="117"/>
      <c r="V63" s="91"/>
      <c r="W63" s="89"/>
      <c r="X63" s="89"/>
      <c r="Y63" s="89"/>
      <c r="Z63" s="90"/>
      <c r="AA63" s="117"/>
      <c r="AB63" s="91"/>
      <c r="AC63" s="89"/>
      <c r="AD63" s="89"/>
      <c r="AE63" s="89"/>
      <c r="AF63" s="90"/>
      <c r="AG63" s="125"/>
      <c r="AH63" s="91"/>
      <c r="AI63" s="89"/>
      <c r="AJ63" s="89"/>
      <c r="AK63" s="89"/>
      <c r="AL63" s="90"/>
      <c r="AM63" s="130"/>
      <c r="AN63" s="81" t="str">
        <f t="shared" si="2"/>
        <v/>
      </c>
      <c r="AO63" s="82" t="str" cm="1">
        <f t="array" ref="AO63">IF(LEN(TRIM(B63))=0, "", COUNTA($D$11:$AL$11) - SUM(COUNTIF(D63:AL63, {"x","◢"})))</f>
        <v/>
      </c>
      <c r="AP63" s="178"/>
      <c r="AQ63" s="179"/>
      <c r="AR63" s="179"/>
      <c r="AS63" s="179"/>
      <c r="AT63" s="179"/>
      <c r="AU63" s="180"/>
    </row>
    <row r="64" spans="1:47" ht="22.15" customHeight="1" thickTop="1" thickBot="1" x14ac:dyDescent="0.3">
      <c r="A64" s="106"/>
      <c r="B64" s="181" t="s">
        <v>13</v>
      </c>
      <c r="C64" s="182"/>
      <c r="D64" s="86" t="str">
        <f t="shared" ref="D64:AF64" si="3">IF(LEN(TRIM(D$11))=0, "", COUNTIF($B$14:$B$63, "?*") - (COUNTIF(D14:D63, "x") + COUNTIF(D14:D63, "◢")))</f>
        <v/>
      </c>
      <c r="E64" s="92" t="str">
        <f t="shared" si="3"/>
        <v/>
      </c>
      <c r="F64" s="93" t="str">
        <f t="shared" si="3"/>
        <v/>
      </c>
      <c r="G64" s="93" t="str">
        <f t="shared" si="3"/>
        <v/>
      </c>
      <c r="H64" s="94" t="str">
        <f t="shared" si="3"/>
        <v/>
      </c>
      <c r="I64" s="95" t="str">
        <f t="shared" si="3"/>
        <v/>
      </c>
      <c r="J64" s="86" t="str">
        <f t="shared" si="3"/>
        <v/>
      </c>
      <c r="K64" s="93" t="str">
        <f t="shared" si="3"/>
        <v/>
      </c>
      <c r="L64" s="93" t="str">
        <f t="shared" si="3"/>
        <v/>
      </c>
      <c r="M64" s="93" t="str">
        <f t="shared" si="3"/>
        <v/>
      </c>
      <c r="N64" s="94" t="str">
        <f t="shared" si="3"/>
        <v/>
      </c>
      <c r="O64" s="95" t="str">
        <f t="shared" si="3"/>
        <v/>
      </c>
      <c r="P64" s="86" t="str">
        <f t="shared" si="3"/>
        <v/>
      </c>
      <c r="Q64" s="93" t="str">
        <f t="shared" si="3"/>
        <v/>
      </c>
      <c r="R64" s="93" t="str">
        <f t="shared" si="3"/>
        <v/>
      </c>
      <c r="S64" s="93" t="str">
        <f t="shared" si="3"/>
        <v/>
      </c>
      <c r="T64" s="94" t="str">
        <f t="shared" si="3"/>
        <v/>
      </c>
      <c r="U64" s="95" t="str">
        <f t="shared" si="3"/>
        <v/>
      </c>
      <c r="V64" s="86" t="str">
        <f t="shared" si="3"/>
        <v/>
      </c>
      <c r="W64" s="93" t="str">
        <f t="shared" si="3"/>
        <v/>
      </c>
      <c r="X64" s="93" t="str">
        <f t="shared" si="3"/>
        <v/>
      </c>
      <c r="Y64" s="93" t="str">
        <f t="shared" si="3"/>
        <v/>
      </c>
      <c r="Z64" s="94" t="str">
        <f t="shared" si="3"/>
        <v/>
      </c>
      <c r="AA64" s="95" t="str">
        <f t="shared" si="3"/>
        <v/>
      </c>
      <c r="AB64" s="86" t="str">
        <f t="shared" si="3"/>
        <v/>
      </c>
      <c r="AC64" s="93" t="str">
        <f t="shared" si="3"/>
        <v/>
      </c>
      <c r="AD64" s="93" t="str">
        <f t="shared" si="3"/>
        <v/>
      </c>
      <c r="AE64" s="93" t="str">
        <f t="shared" si="3"/>
        <v/>
      </c>
      <c r="AF64" s="94" t="str">
        <f t="shared" si="3"/>
        <v/>
      </c>
      <c r="AG64" s="94"/>
      <c r="AH64" s="86" t="str">
        <f>IF(LEN(TRIM(AH$11))=0, "", COUNTIF($B$14:$B$63, "?*") - COUNTIF(AH14:AH63, "x"))</f>
        <v/>
      </c>
      <c r="AI64" s="93" t="str">
        <f>IF(LEN(TRIM(AI$11))=0, "", COUNTIF($B$14:$B$63, "?*") - COUNTIF(AI14:AI63, "x"))</f>
        <v/>
      </c>
      <c r="AJ64" s="93" t="str">
        <f>IF(LEN(TRIM(AJ$11))=0, "", COUNTIF($B$14:$B$63, "?*") - COUNTIF(AJ14:AJ63, "x"))</f>
        <v/>
      </c>
      <c r="AK64" s="93" t="str">
        <f>IF(LEN(TRIM(AK$11))=0, "", COUNTIF($B$14:$B$63, "?*") - COUNTIF(AK14:AK63, "x"))</f>
        <v/>
      </c>
      <c r="AL64" s="94" t="str">
        <f>IF(LEN(TRIM(AL$11))=0, "", COUNTIF($B$14:$B$63, "?*") - COUNTIF(AL14:AL63, "x"))</f>
        <v/>
      </c>
      <c r="AM64" s="94"/>
      <c r="AN64" s="96"/>
      <c r="AO64" s="97"/>
      <c r="AP64" s="183"/>
      <c r="AQ64" s="184"/>
      <c r="AR64" s="184"/>
      <c r="AS64" s="184"/>
      <c r="AT64" s="184"/>
      <c r="AU64" s="185"/>
    </row>
    <row r="65" spans="1:47" ht="21.75" customHeight="1" x14ac:dyDescent="0.25">
      <c r="A65" s="116">
        <v>1</v>
      </c>
      <c r="B65" s="281"/>
      <c r="C65" s="285"/>
      <c r="D65" s="64"/>
      <c r="E65" s="65"/>
      <c r="F65" s="66"/>
      <c r="G65" s="66"/>
      <c r="H65" s="67"/>
      <c r="I65" s="115"/>
      <c r="J65" s="68"/>
      <c r="K65" s="66"/>
      <c r="L65" s="66"/>
      <c r="M65" s="66"/>
      <c r="N65" s="67"/>
      <c r="O65" s="115"/>
      <c r="P65" s="68"/>
      <c r="Q65" s="66"/>
      <c r="R65" s="66"/>
      <c r="S65" s="66"/>
      <c r="T65" s="67"/>
      <c r="U65" s="115"/>
      <c r="V65" s="68"/>
      <c r="W65" s="66"/>
      <c r="X65" s="66"/>
      <c r="Y65" s="66"/>
      <c r="Z65" s="67"/>
      <c r="AA65" s="115"/>
      <c r="AB65" s="68"/>
      <c r="AC65" s="66"/>
      <c r="AD65" s="66"/>
      <c r="AE65" s="66"/>
      <c r="AF65" s="67"/>
      <c r="AG65" s="114"/>
      <c r="AH65" s="68"/>
      <c r="AI65" s="66"/>
      <c r="AJ65" s="66"/>
      <c r="AK65" s="66"/>
      <c r="AL65" s="67"/>
      <c r="AM65" s="110"/>
      <c r="AN65" s="79" t="str">
        <f t="shared" ref="AN65:AN84" si="4">IF((COUNTIF(D65:AL65, "x") + COUNTIF(D65:AL65, "◢"))=0, "", COUNTIF(D65:AL65, "x") + COUNTIF(D65:AL65, "◢"))</f>
        <v/>
      </c>
      <c r="AO65" s="80" t="str" cm="1">
        <f t="array" ref="AO65">IF(LEN(TRIM(B65))=0, "", COUNTA($D$11:$AL$11) - SUM(COUNTIF(D65:AL65, {"x","◢"})))</f>
        <v/>
      </c>
      <c r="AP65" s="147"/>
      <c r="AQ65" s="148"/>
      <c r="AR65" s="148"/>
      <c r="AS65" s="148"/>
      <c r="AT65" s="148"/>
      <c r="AU65" s="149"/>
    </row>
    <row r="66" spans="1:47" ht="21.75" customHeight="1" x14ac:dyDescent="0.25">
      <c r="A66" s="116">
        <v>2</v>
      </c>
      <c r="B66" s="281"/>
      <c r="C66" s="282"/>
      <c r="D66" s="69"/>
      <c r="E66" s="70"/>
      <c r="F66" s="71"/>
      <c r="G66" s="71"/>
      <c r="H66" s="72"/>
      <c r="I66" s="115"/>
      <c r="J66" s="73"/>
      <c r="K66" s="71"/>
      <c r="L66" s="71"/>
      <c r="M66" s="71"/>
      <c r="N66" s="72"/>
      <c r="O66" s="115"/>
      <c r="P66" s="73"/>
      <c r="Q66" s="71"/>
      <c r="R66" s="71"/>
      <c r="S66" s="71"/>
      <c r="T66" s="72"/>
      <c r="U66" s="115"/>
      <c r="V66" s="73"/>
      <c r="W66" s="71"/>
      <c r="X66" s="71"/>
      <c r="Y66" s="71"/>
      <c r="Z66" s="72"/>
      <c r="AA66" s="115"/>
      <c r="AB66" s="73"/>
      <c r="AC66" s="71"/>
      <c r="AD66" s="71"/>
      <c r="AE66" s="71"/>
      <c r="AF66" s="72"/>
      <c r="AG66" s="118"/>
      <c r="AH66" s="73"/>
      <c r="AI66" s="71"/>
      <c r="AJ66" s="71"/>
      <c r="AK66" s="71"/>
      <c r="AL66" s="72"/>
      <c r="AM66" s="110"/>
      <c r="AN66" s="79" t="str">
        <f t="shared" si="4"/>
        <v/>
      </c>
      <c r="AO66" s="80" t="str" cm="1">
        <f t="array" ref="AO66">IF(LEN(TRIM(B66))=0, "", COUNTA($D$11:$AL$11) - SUM(COUNTIF(D66:AL66, {"x","◢"})))</f>
        <v/>
      </c>
      <c r="AP66" s="147"/>
      <c r="AQ66" s="148"/>
      <c r="AR66" s="148"/>
      <c r="AS66" s="148"/>
      <c r="AT66" s="148"/>
      <c r="AU66" s="149"/>
    </row>
    <row r="67" spans="1:47" ht="21.75" customHeight="1" x14ac:dyDescent="0.25">
      <c r="A67" s="116">
        <v>3</v>
      </c>
      <c r="B67" s="281"/>
      <c r="C67" s="285"/>
      <c r="D67" s="69"/>
      <c r="E67" s="70"/>
      <c r="F67" s="71"/>
      <c r="G67" s="71"/>
      <c r="H67" s="72"/>
      <c r="I67" s="115"/>
      <c r="J67" s="73"/>
      <c r="K67" s="71"/>
      <c r="L67" s="71"/>
      <c r="M67" s="71"/>
      <c r="N67" s="72"/>
      <c r="O67" s="115"/>
      <c r="P67" s="73"/>
      <c r="Q67" s="71"/>
      <c r="R67" s="71"/>
      <c r="S67" s="71"/>
      <c r="T67" s="72"/>
      <c r="U67" s="115"/>
      <c r="V67" s="73"/>
      <c r="W67" s="71"/>
      <c r="X67" s="71"/>
      <c r="Y67" s="71"/>
      <c r="Z67" s="72"/>
      <c r="AA67" s="115"/>
      <c r="AB67" s="73"/>
      <c r="AC67" s="71"/>
      <c r="AD67" s="71"/>
      <c r="AE67" s="71"/>
      <c r="AF67" s="72"/>
      <c r="AG67" s="118"/>
      <c r="AH67" s="73"/>
      <c r="AI67" s="71"/>
      <c r="AJ67" s="71"/>
      <c r="AK67" s="71"/>
      <c r="AL67" s="72"/>
      <c r="AM67" s="110"/>
      <c r="AN67" s="79" t="str">
        <f t="shared" si="4"/>
        <v/>
      </c>
      <c r="AO67" s="80" t="str" cm="1">
        <f t="array" ref="AO67">IF(LEN(TRIM(B67))=0, "", COUNTA($D$11:$AL$11) - SUM(COUNTIF(D67:AL67, {"x","◢"})))</f>
        <v/>
      </c>
      <c r="AP67" s="147"/>
      <c r="AQ67" s="148"/>
      <c r="AR67" s="148"/>
      <c r="AS67" s="148"/>
      <c r="AT67" s="148"/>
      <c r="AU67" s="149"/>
    </row>
    <row r="68" spans="1:47" ht="21.75" customHeight="1" x14ac:dyDescent="0.25">
      <c r="A68" s="116">
        <v>4</v>
      </c>
      <c r="B68" s="281"/>
      <c r="C68" s="282"/>
      <c r="D68" s="69"/>
      <c r="E68" s="70"/>
      <c r="F68" s="71"/>
      <c r="G68" s="71"/>
      <c r="H68" s="72"/>
      <c r="I68" s="115"/>
      <c r="J68" s="73"/>
      <c r="K68" s="71"/>
      <c r="L68" s="71"/>
      <c r="M68" s="71"/>
      <c r="N68" s="72"/>
      <c r="O68" s="115"/>
      <c r="P68" s="73"/>
      <c r="Q68" s="71"/>
      <c r="R68" s="71"/>
      <c r="S68" s="71"/>
      <c r="T68" s="72"/>
      <c r="U68" s="115"/>
      <c r="V68" s="73"/>
      <c r="W68" s="71"/>
      <c r="X68" s="71"/>
      <c r="Y68" s="71"/>
      <c r="Z68" s="72"/>
      <c r="AA68" s="115"/>
      <c r="AB68" s="73"/>
      <c r="AC68" s="71"/>
      <c r="AD68" s="71"/>
      <c r="AE68" s="71"/>
      <c r="AF68" s="72"/>
      <c r="AG68" s="118"/>
      <c r="AH68" s="73"/>
      <c r="AI68" s="71"/>
      <c r="AJ68" s="71"/>
      <c r="AK68" s="71"/>
      <c r="AL68" s="72"/>
      <c r="AM68" s="110"/>
      <c r="AN68" s="79" t="str">
        <f t="shared" si="4"/>
        <v/>
      </c>
      <c r="AO68" s="80" t="str" cm="1">
        <f t="array" ref="AO68">IF(LEN(TRIM(B68))=0, "", COUNTA($D$11:$AL$11) - SUM(COUNTIF(D68:AL68, {"x","◢"})))</f>
        <v/>
      </c>
      <c r="AP68" s="147"/>
      <c r="AQ68" s="148"/>
      <c r="AR68" s="148"/>
      <c r="AS68" s="148"/>
      <c r="AT68" s="148"/>
      <c r="AU68" s="149"/>
    </row>
    <row r="69" spans="1:47" ht="21.75" customHeight="1" x14ac:dyDescent="0.25">
      <c r="A69" s="116">
        <v>5</v>
      </c>
      <c r="B69" s="281"/>
      <c r="C69" s="285"/>
      <c r="D69" s="69"/>
      <c r="E69" s="70"/>
      <c r="F69" s="71"/>
      <c r="G69" s="71"/>
      <c r="H69" s="72"/>
      <c r="I69" s="115"/>
      <c r="J69" s="73"/>
      <c r="K69" s="71"/>
      <c r="L69" s="71"/>
      <c r="M69" s="71"/>
      <c r="N69" s="72"/>
      <c r="O69" s="115"/>
      <c r="P69" s="73"/>
      <c r="Q69" s="71"/>
      <c r="R69" s="71"/>
      <c r="S69" s="71"/>
      <c r="T69" s="72"/>
      <c r="U69" s="115"/>
      <c r="V69" s="73"/>
      <c r="W69" s="71"/>
      <c r="X69" s="71"/>
      <c r="Y69" s="71"/>
      <c r="Z69" s="72"/>
      <c r="AA69" s="115"/>
      <c r="AB69" s="73"/>
      <c r="AC69" s="71"/>
      <c r="AD69" s="71"/>
      <c r="AE69" s="71"/>
      <c r="AF69" s="72"/>
      <c r="AG69" s="118"/>
      <c r="AH69" s="73"/>
      <c r="AI69" s="71"/>
      <c r="AJ69" s="71"/>
      <c r="AK69" s="71"/>
      <c r="AL69" s="72"/>
      <c r="AM69" s="110"/>
      <c r="AN69" s="79" t="str">
        <f t="shared" si="4"/>
        <v/>
      </c>
      <c r="AO69" s="80" t="str" cm="1">
        <f t="array" ref="AO69">IF(LEN(TRIM(B69))=0, "", COUNTA($D$11:$AL$11) - SUM(COUNTIF(D69:AL69, {"x","◢"})))</f>
        <v/>
      </c>
      <c r="AP69" s="147"/>
      <c r="AQ69" s="148"/>
      <c r="AR69" s="148"/>
      <c r="AS69" s="148"/>
      <c r="AT69" s="148"/>
      <c r="AU69" s="149"/>
    </row>
    <row r="70" spans="1:47" ht="21.75" customHeight="1" x14ac:dyDescent="0.25">
      <c r="A70" s="116">
        <v>6</v>
      </c>
      <c r="B70" s="281"/>
      <c r="C70" s="282"/>
      <c r="D70" s="69"/>
      <c r="E70" s="70"/>
      <c r="F70" s="71"/>
      <c r="G70" s="71"/>
      <c r="H70" s="72"/>
      <c r="I70" s="115"/>
      <c r="J70" s="73"/>
      <c r="K70" s="71"/>
      <c r="L70" s="71"/>
      <c r="M70" s="71"/>
      <c r="N70" s="72"/>
      <c r="O70" s="115"/>
      <c r="P70" s="73"/>
      <c r="Q70" s="71"/>
      <c r="R70" s="71"/>
      <c r="S70" s="71"/>
      <c r="T70" s="72"/>
      <c r="U70" s="115"/>
      <c r="V70" s="73"/>
      <c r="W70" s="71"/>
      <c r="X70" s="71"/>
      <c r="Y70" s="71"/>
      <c r="Z70" s="72"/>
      <c r="AA70" s="115"/>
      <c r="AB70" s="73"/>
      <c r="AC70" s="71"/>
      <c r="AD70" s="71"/>
      <c r="AE70" s="71"/>
      <c r="AF70" s="72"/>
      <c r="AG70" s="118"/>
      <c r="AH70" s="73"/>
      <c r="AI70" s="71"/>
      <c r="AJ70" s="71"/>
      <c r="AK70" s="71"/>
      <c r="AL70" s="72"/>
      <c r="AM70" s="110"/>
      <c r="AN70" s="79" t="str">
        <f t="shared" si="4"/>
        <v/>
      </c>
      <c r="AO70" s="80" t="str" cm="1">
        <f t="array" ref="AO70">IF(LEN(TRIM(B70))=0, "", COUNTA($D$11:$AL$11) - SUM(COUNTIF(D70:AL70, {"x","◢"})))</f>
        <v/>
      </c>
      <c r="AP70" s="147"/>
      <c r="AQ70" s="148"/>
      <c r="AR70" s="148"/>
      <c r="AS70" s="148"/>
      <c r="AT70" s="148"/>
      <c r="AU70" s="149"/>
    </row>
    <row r="71" spans="1:47" ht="21.75" customHeight="1" x14ac:dyDescent="0.25">
      <c r="A71" s="116">
        <v>7</v>
      </c>
      <c r="B71" s="281"/>
      <c r="C71" s="285"/>
      <c r="D71" s="69"/>
      <c r="E71" s="70"/>
      <c r="F71" s="71"/>
      <c r="G71" s="71"/>
      <c r="H71" s="72"/>
      <c r="I71" s="115"/>
      <c r="J71" s="73"/>
      <c r="K71" s="71"/>
      <c r="L71" s="71"/>
      <c r="M71" s="71"/>
      <c r="N71" s="72"/>
      <c r="O71" s="115"/>
      <c r="P71" s="73"/>
      <c r="Q71" s="71"/>
      <c r="R71" s="71"/>
      <c r="S71" s="71"/>
      <c r="T71" s="72"/>
      <c r="U71" s="115"/>
      <c r="V71" s="73"/>
      <c r="W71" s="71"/>
      <c r="X71" s="71"/>
      <c r="Y71" s="71"/>
      <c r="Z71" s="72"/>
      <c r="AA71" s="115"/>
      <c r="AB71" s="73"/>
      <c r="AC71" s="71"/>
      <c r="AD71" s="71"/>
      <c r="AE71" s="71"/>
      <c r="AF71" s="72"/>
      <c r="AG71" s="118"/>
      <c r="AH71" s="73"/>
      <c r="AI71" s="71"/>
      <c r="AJ71" s="71"/>
      <c r="AK71" s="71"/>
      <c r="AL71" s="72"/>
      <c r="AM71" s="110"/>
      <c r="AN71" s="79" t="str">
        <f t="shared" si="4"/>
        <v/>
      </c>
      <c r="AO71" s="80" t="str" cm="1">
        <f t="array" ref="AO71">IF(LEN(TRIM(B71))=0, "", COUNTA($D$11:$AL$11) - SUM(COUNTIF(D71:AL71, {"x","◢"})))</f>
        <v/>
      </c>
      <c r="AP71" s="147"/>
      <c r="AQ71" s="148"/>
      <c r="AR71" s="148"/>
      <c r="AS71" s="148"/>
      <c r="AT71" s="148"/>
      <c r="AU71" s="149"/>
    </row>
    <row r="72" spans="1:47" ht="21.75" customHeight="1" x14ac:dyDescent="0.25">
      <c r="A72" s="116">
        <v>8</v>
      </c>
      <c r="B72" s="281"/>
      <c r="C72" s="282"/>
      <c r="D72" s="69"/>
      <c r="E72" s="70"/>
      <c r="F72" s="71"/>
      <c r="G72" s="71"/>
      <c r="H72" s="72"/>
      <c r="I72" s="115"/>
      <c r="J72" s="73"/>
      <c r="K72" s="71"/>
      <c r="L72" s="71"/>
      <c r="M72" s="71"/>
      <c r="N72" s="72"/>
      <c r="O72" s="115"/>
      <c r="P72" s="73"/>
      <c r="Q72" s="71"/>
      <c r="R72" s="71"/>
      <c r="S72" s="71"/>
      <c r="T72" s="72"/>
      <c r="U72" s="115"/>
      <c r="V72" s="73"/>
      <c r="W72" s="71"/>
      <c r="X72" s="71"/>
      <c r="Y72" s="71"/>
      <c r="Z72" s="72"/>
      <c r="AA72" s="115"/>
      <c r="AB72" s="73"/>
      <c r="AC72" s="71"/>
      <c r="AD72" s="71"/>
      <c r="AE72" s="71"/>
      <c r="AF72" s="72"/>
      <c r="AG72" s="118"/>
      <c r="AH72" s="73"/>
      <c r="AI72" s="71"/>
      <c r="AJ72" s="71"/>
      <c r="AK72" s="71"/>
      <c r="AL72" s="72"/>
      <c r="AM72" s="110"/>
      <c r="AN72" s="79" t="str">
        <f t="shared" si="4"/>
        <v/>
      </c>
      <c r="AO72" s="80" t="str" cm="1">
        <f t="array" ref="AO72">IF(LEN(TRIM(B72))=0, "", COUNTA($D$11:$AL$11) - SUM(COUNTIF(D72:AL72, {"x","◢"})))</f>
        <v/>
      </c>
      <c r="AP72" s="147"/>
      <c r="AQ72" s="148"/>
      <c r="AR72" s="148"/>
      <c r="AS72" s="148"/>
      <c r="AT72" s="148"/>
      <c r="AU72" s="149"/>
    </row>
    <row r="73" spans="1:47" ht="21.75" customHeight="1" x14ac:dyDescent="0.25">
      <c r="A73" s="116">
        <v>9</v>
      </c>
      <c r="B73" s="281"/>
      <c r="C73" s="285"/>
      <c r="D73" s="69"/>
      <c r="E73" s="70"/>
      <c r="F73" s="71"/>
      <c r="G73" s="71"/>
      <c r="H73" s="72"/>
      <c r="I73" s="115"/>
      <c r="J73" s="73"/>
      <c r="K73" s="71"/>
      <c r="L73" s="71"/>
      <c r="M73" s="71"/>
      <c r="N73" s="72"/>
      <c r="O73" s="115"/>
      <c r="P73" s="73"/>
      <c r="Q73" s="71"/>
      <c r="R73" s="71"/>
      <c r="S73" s="71"/>
      <c r="T73" s="72"/>
      <c r="U73" s="115"/>
      <c r="V73" s="73"/>
      <c r="W73" s="71"/>
      <c r="X73" s="71"/>
      <c r="Y73" s="71"/>
      <c r="Z73" s="72"/>
      <c r="AA73" s="115"/>
      <c r="AB73" s="73"/>
      <c r="AC73" s="71"/>
      <c r="AD73" s="71"/>
      <c r="AE73" s="71"/>
      <c r="AF73" s="72"/>
      <c r="AG73" s="118"/>
      <c r="AH73" s="73"/>
      <c r="AI73" s="71"/>
      <c r="AJ73" s="71"/>
      <c r="AK73" s="71"/>
      <c r="AL73" s="72"/>
      <c r="AM73" s="110"/>
      <c r="AN73" s="79" t="str">
        <f t="shared" si="4"/>
        <v/>
      </c>
      <c r="AO73" s="80" t="str" cm="1">
        <f t="array" ref="AO73">IF(LEN(TRIM(B73))=0, "", COUNTA($D$11:$AL$11) - SUM(COUNTIF(D73:AL73, {"x","◢"})))</f>
        <v/>
      </c>
      <c r="AP73" s="147"/>
      <c r="AQ73" s="148"/>
      <c r="AR73" s="148"/>
      <c r="AS73" s="148"/>
      <c r="AT73" s="148"/>
      <c r="AU73" s="149"/>
    </row>
    <row r="74" spans="1:47" ht="21.75" customHeight="1" x14ac:dyDescent="0.25">
      <c r="A74" s="116">
        <v>10</v>
      </c>
      <c r="B74" s="281"/>
      <c r="C74" s="282"/>
      <c r="D74" s="69"/>
      <c r="E74" s="70"/>
      <c r="F74" s="71"/>
      <c r="G74" s="71"/>
      <c r="H74" s="72"/>
      <c r="I74" s="115"/>
      <c r="J74" s="73"/>
      <c r="K74" s="71"/>
      <c r="L74" s="71"/>
      <c r="M74" s="71"/>
      <c r="N74" s="72"/>
      <c r="O74" s="115"/>
      <c r="P74" s="73"/>
      <c r="Q74" s="71"/>
      <c r="R74" s="71"/>
      <c r="S74" s="71"/>
      <c r="T74" s="72"/>
      <c r="U74" s="115"/>
      <c r="V74" s="73"/>
      <c r="W74" s="71"/>
      <c r="X74" s="71"/>
      <c r="Y74" s="71"/>
      <c r="Z74" s="72"/>
      <c r="AA74" s="115"/>
      <c r="AB74" s="73"/>
      <c r="AC74" s="71"/>
      <c r="AD74" s="71"/>
      <c r="AE74" s="71"/>
      <c r="AF74" s="72"/>
      <c r="AG74" s="118"/>
      <c r="AH74" s="73"/>
      <c r="AI74" s="71"/>
      <c r="AJ74" s="71"/>
      <c r="AK74" s="71"/>
      <c r="AL74" s="72"/>
      <c r="AM74" s="110"/>
      <c r="AN74" s="79" t="str">
        <f t="shared" si="4"/>
        <v/>
      </c>
      <c r="AO74" s="80" t="str" cm="1">
        <f t="array" ref="AO74">IF(LEN(TRIM(B74))=0, "", COUNTA($D$11:$AL$11) - SUM(COUNTIF(D74:AL74, {"x","◢"})))</f>
        <v/>
      </c>
      <c r="AP74" s="147"/>
      <c r="AQ74" s="148"/>
      <c r="AR74" s="148"/>
      <c r="AS74" s="148"/>
      <c r="AT74" s="148"/>
      <c r="AU74" s="149"/>
    </row>
    <row r="75" spans="1:47" ht="21.75" customHeight="1" x14ac:dyDescent="0.25">
      <c r="A75" s="116">
        <v>11</v>
      </c>
      <c r="B75" s="281"/>
      <c r="C75" s="285"/>
      <c r="D75" s="69"/>
      <c r="E75" s="70"/>
      <c r="F75" s="71"/>
      <c r="G75" s="71"/>
      <c r="H75" s="72"/>
      <c r="I75" s="115"/>
      <c r="J75" s="73"/>
      <c r="K75" s="71"/>
      <c r="L75" s="71"/>
      <c r="M75" s="71"/>
      <c r="N75" s="72"/>
      <c r="O75" s="115"/>
      <c r="P75" s="73"/>
      <c r="Q75" s="71"/>
      <c r="R75" s="71"/>
      <c r="S75" s="71"/>
      <c r="T75" s="72"/>
      <c r="U75" s="115"/>
      <c r="V75" s="73"/>
      <c r="W75" s="71"/>
      <c r="X75" s="71"/>
      <c r="Y75" s="71"/>
      <c r="Z75" s="72"/>
      <c r="AA75" s="115"/>
      <c r="AB75" s="73"/>
      <c r="AC75" s="71"/>
      <c r="AD75" s="71"/>
      <c r="AE75" s="71"/>
      <c r="AF75" s="72"/>
      <c r="AG75" s="118"/>
      <c r="AH75" s="73"/>
      <c r="AI75" s="71"/>
      <c r="AJ75" s="71"/>
      <c r="AK75" s="71"/>
      <c r="AL75" s="72"/>
      <c r="AM75" s="110"/>
      <c r="AN75" s="79" t="str">
        <f t="shared" si="4"/>
        <v/>
      </c>
      <c r="AO75" s="80" t="str" cm="1">
        <f t="array" ref="AO75">IF(LEN(TRIM(B75))=0, "", COUNTA($D$11:$AL$11) - SUM(COUNTIF(D75:AL75, {"x","◢"})))</f>
        <v/>
      </c>
      <c r="AP75" s="147"/>
      <c r="AQ75" s="148"/>
      <c r="AR75" s="148"/>
      <c r="AS75" s="148"/>
      <c r="AT75" s="148"/>
      <c r="AU75" s="149"/>
    </row>
    <row r="76" spans="1:47" ht="21.75" customHeight="1" x14ac:dyDescent="0.25">
      <c r="A76" s="116">
        <v>12</v>
      </c>
      <c r="B76" s="281"/>
      <c r="C76" s="282"/>
      <c r="D76" s="69"/>
      <c r="E76" s="70"/>
      <c r="F76" s="71"/>
      <c r="G76" s="71"/>
      <c r="H76" s="72"/>
      <c r="I76" s="115"/>
      <c r="J76" s="73"/>
      <c r="K76" s="71"/>
      <c r="L76" s="71"/>
      <c r="M76" s="71"/>
      <c r="N76" s="72"/>
      <c r="O76" s="115"/>
      <c r="P76" s="73"/>
      <c r="Q76" s="71"/>
      <c r="R76" s="71"/>
      <c r="S76" s="71"/>
      <c r="T76" s="72"/>
      <c r="U76" s="115"/>
      <c r="V76" s="73"/>
      <c r="W76" s="71"/>
      <c r="X76" s="71"/>
      <c r="Y76" s="71"/>
      <c r="Z76" s="72"/>
      <c r="AA76" s="115"/>
      <c r="AB76" s="73"/>
      <c r="AC76" s="71"/>
      <c r="AD76" s="71"/>
      <c r="AE76" s="71"/>
      <c r="AF76" s="72"/>
      <c r="AG76" s="118"/>
      <c r="AH76" s="73"/>
      <c r="AI76" s="71"/>
      <c r="AJ76" s="71"/>
      <c r="AK76" s="71"/>
      <c r="AL76" s="72"/>
      <c r="AM76" s="110"/>
      <c r="AN76" s="79" t="str">
        <f t="shared" si="4"/>
        <v/>
      </c>
      <c r="AO76" s="80" t="str" cm="1">
        <f t="array" ref="AO76">IF(LEN(TRIM(B76))=0, "", COUNTA($D$11:$AL$11) - SUM(COUNTIF(D76:AL76, {"x","◢"})))</f>
        <v/>
      </c>
      <c r="AP76" s="147"/>
      <c r="AQ76" s="148"/>
      <c r="AR76" s="148"/>
      <c r="AS76" s="148"/>
      <c r="AT76" s="148"/>
      <c r="AU76" s="149"/>
    </row>
    <row r="77" spans="1:47" ht="21.75" customHeight="1" x14ac:dyDescent="0.25">
      <c r="A77" s="116">
        <v>13</v>
      </c>
      <c r="B77" s="281"/>
      <c r="C77" s="285"/>
      <c r="D77" s="69"/>
      <c r="E77" s="70"/>
      <c r="F77" s="71"/>
      <c r="G77" s="71"/>
      <c r="H77" s="72"/>
      <c r="I77" s="115"/>
      <c r="J77" s="73"/>
      <c r="K77" s="71"/>
      <c r="L77" s="71"/>
      <c r="M77" s="71"/>
      <c r="N77" s="72"/>
      <c r="O77" s="115"/>
      <c r="P77" s="73"/>
      <c r="Q77" s="71"/>
      <c r="R77" s="71"/>
      <c r="S77" s="71"/>
      <c r="T77" s="72"/>
      <c r="U77" s="115"/>
      <c r="V77" s="73"/>
      <c r="W77" s="71"/>
      <c r="X77" s="71"/>
      <c r="Y77" s="71"/>
      <c r="Z77" s="72"/>
      <c r="AA77" s="115"/>
      <c r="AB77" s="73"/>
      <c r="AC77" s="71"/>
      <c r="AD77" s="71"/>
      <c r="AE77" s="71"/>
      <c r="AF77" s="72"/>
      <c r="AG77" s="118"/>
      <c r="AH77" s="73"/>
      <c r="AI77" s="71"/>
      <c r="AJ77" s="71"/>
      <c r="AK77" s="71"/>
      <c r="AL77" s="72"/>
      <c r="AM77" s="110"/>
      <c r="AN77" s="79" t="str">
        <f t="shared" si="4"/>
        <v/>
      </c>
      <c r="AO77" s="80" t="str" cm="1">
        <f t="array" ref="AO77">IF(LEN(TRIM(B77))=0, "", COUNTA($D$11:$AL$11) - SUM(COUNTIF(D77:AL77, {"x","◢"})))</f>
        <v/>
      </c>
      <c r="AP77" s="147"/>
      <c r="AQ77" s="148"/>
      <c r="AR77" s="148"/>
      <c r="AS77" s="148"/>
      <c r="AT77" s="148"/>
      <c r="AU77" s="149"/>
    </row>
    <row r="78" spans="1:47" ht="21.75" customHeight="1" x14ac:dyDescent="0.25">
      <c r="A78" s="116"/>
      <c r="B78" s="281"/>
      <c r="C78" s="285"/>
      <c r="D78" s="69"/>
      <c r="E78" s="70"/>
      <c r="F78" s="71"/>
      <c r="G78" s="71"/>
      <c r="H78" s="72"/>
      <c r="I78" s="115"/>
      <c r="J78" s="73"/>
      <c r="K78" s="71"/>
      <c r="L78" s="71"/>
      <c r="M78" s="71"/>
      <c r="N78" s="72"/>
      <c r="O78" s="115"/>
      <c r="P78" s="73"/>
      <c r="Q78" s="71"/>
      <c r="R78" s="71"/>
      <c r="S78" s="71"/>
      <c r="T78" s="72"/>
      <c r="U78" s="115"/>
      <c r="V78" s="73"/>
      <c r="W78" s="71"/>
      <c r="X78" s="71"/>
      <c r="Y78" s="71"/>
      <c r="Z78" s="72"/>
      <c r="AA78" s="115"/>
      <c r="AB78" s="73"/>
      <c r="AC78" s="71"/>
      <c r="AD78" s="71"/>
      <c r="AE78" s="71"/>
      <c r="AF78" s="72"/>
      <c r="AG78" s="118"/>
      <c r="AH78" s="73"/>
      <c r="AI78" s="71"/>
      <c r="AJ78" s="71"/>
      <c r="AK78" s="71"/>
      <c r="AL78" s="72"/>
      <c r="AM78" s="110"/>
      <c r="AN78" s="79" t="str">
        <f t="shared" si="4"/>
        <v/>
      </c>
      <c r="AO78" s="80" t="str" cm="1">
        <f t="array" ref="AO78">IF(LEN(TRIM(B78))=0, "", COUNTA($D$11:$AL$11) - SUM(COUNTIF(D78:AL78, {"x","◢"})))</f>
        <v/>
      </c>
      <c r="AP78" s="147"/>
      <c r="AQ78" s="148"/>
      <c r="AR78" s="148"/>
      <c r="AS78" s="148"/>
      <c r="AT78" s="148"/>
      <c r="AU78" s="149"/>
    </row>
    <row r="79" spans="1:47" ht="21.75" customHeight="1" x14ac:dyDescent="0.25">
      <c r="A79" s="116"/>
      <c r="B79" s="281"/>
      <c r="C79" s="285"/>
      <c r="D79" s="69"/>
      <c r="E79" s="70"/>
      <c r="F79" s="71"/>
      <c r="G79" s="71"/>
      <c r="H79" s="72"/>
      <c r="I79" s="115"/>
      <c r="J79" s="73"/>
      <c r="K79" s="71"/>
      <c r="L79" s="71"/>
      <c r="M79" s="71"/>
      <c r="N79" s="72"/>
      <c r="O79" s="115"/>
      <c r="P79" s="73"/>
      <c r="Q79" s="71"/>
      <c r="R79" s="71"/>
      <c r="S79" s="71"/>
      <c r="T79" s="72"/>
      <c r="U79" s="115"/>
      <c r="V79" s="73"/>
      <c r="W79" s="71"/>
      <c r="X79" s="71"/>
      <c r="Y79" s="71"/>
      <c r="Z79" s="72"/>
      <c r="AA79" s="115"/>
      <c r="AB79" s="73"/>
      <c r="AC79" s="71"/>
      <c r="AD79" s="71"/>
      <c r="AE79" s="71"/>
      <c r="AF79" s="72"/>
      <c r="AG79" s="118"/>
      <c r="AH79" s="73"/>
      <c r="AI79" s="71"/>
      <c r="AJ79" s="71"/>
      <c r="AK79" s="71"/>
      <c r="AL79" s="72"/>
      <c r="AM79" s="110"/>
      <c r="AN79" s="79" t="str">
        <f t="shared" si="4"/>
        <v/>
      </c>
      <c r="AO79" s="80" t="str" cm="1">
        <f t="array" ref="AO79">IF(LEN(TRIM(B79))=0, "", COUNTA($D$11:$AL$11) - SUM(COUNTIF(D79:AL79, {"x","◢"})))</f>
        <v/>
      </c>
      <c r="AP79" s="147"/>
      <c r="AQ79" s="148"/>
      <c r="AR79" s="148"/>
      <c r="AS79" s="148"/>
      <c r="AT79" s="148"/>
      <c r="AU79" s="149"/>
    </row>
    <row r="80" spans="1:47" ht="21.75" customHeight="1" x14ac:dyDescent="0.25">
      <c r="A80" s="116"/>
      <c r="B80" s="281"/>
      <c r="C80" s="285"/>
      <c r="D80" s="69"/>
      <c r="E80" s="70"/>
      <c r="F80" s="71"/>
      <c r="G80" s="71"/>
      <c r="H80" s="72"/>
      <c r="I80" s="115"/>
      <c r="J80" s="73"/>
      <c r="K80" s="71"/>
      <c r="L80" s="71"/>
      <c r="M80" s="71"/>
      <c r="N80" s="72"/>
      <c r="O80" s="115"/>
      <c r="P80" s="73"/>
      <c r="Q80" s="71"/>
      <c r="R80" s="71"/>
      <c r="S80" s="71"/>
      <c r="T80" s="72"/>
      <c r="U80" s="115"/>
      <c r="V80" s="73"/>
      <c r="W80" s="71"/>
      <c r="X80" s="71"/>
      <c r="Y80" s="71"/>
      <c r="Z80" s="72"/>
      <c r="AA80" s="115"/>
      <c r="AB80" s="73"/>
      <c r="AC80" s="71"/>
      <c r="AD80" s="71"/>
      <c r="AE80" s="71"/>
      <c r="AF80" s="72"/>
      <c r="AG80" s="118"/>
      <c r="AH80" s="73"/>
      <c r="AI80" s="71"/>
      <c r="AJ80" s="71"/>
      <c r="AK80" s="71"/>
      <c r="AL80" s="72"/>
      <c r="AM80" s="110"/>
      <c r="AN80" s="79" t="str">
        <f t="shared" si="4"/>
        <v/>
      </c>
      <c r="AO80" s="80" t="str" cm="1">
        <f t="array" ref="AO80">IF(LEN(TRIM(B80))=0, "", COUNTA($D$11:$AL$11) - SUM(COUNTIF(D80:AL80, {"x","◢"})))</f>
        <v/>
      </c>
      <c r="AP80" s="147"/>
      <c r="AQ80" s="148"/>
      <c r="AR80" s="148"/>
      <c r="AS80" s="148"/>
      <c r="AT80" s="148"/>
      <c r="AU80" s="149"/>
    </row>
    <row r="81" spans="1:47" ht="21.75" customHeight="1" x14ac:dyDescent="0.25">
      <c r="A81" s="116"/>
      <c r="B81" s="281"/>
      <c r="C81" s="285"/>
      <c r="D81" s="69"/>
      <c r="E81" s="70"/>
      <c r="F81" s="71"/>
      <c r="G81" s="71"/>
      <c r="H81" s="72"/>
      <c r="I81" s="115"/>
      <c r="J81" s="73"/>
      <c r="K81" s="71"/>
      <c r="L81" s="71"/>
      <c r="M81" s="71"/>
      <c r="N81" s="72"/>
      <c r="O81" s="115"/>
      <c r="P81" s="73"/>
      <c r="Q81" s="71"/>
      <c r="R81" s="71"/>
      <c r="S81" s="71"/>
      <c r="T81" s="72"/>
      <c r="U81" s="115"/>
      <c r="V81" s="73"/>
      <c r="W81" s="71"/>
      <c r="X81" s="71"/>
      <c r="Y81" s="71"/>
      <c r="Z81" s="72"/>
      <c r="AA81" s="115"/>
      <c r="AB81" s="73"/>
      <c r="AC81" s="71"/>
      <c r="AD81" s="71"/>
      <c r="AE81" s="71"/>
      <c r="AF81" s="72"/>
      <c r="AG81" s="118"/>
      <c r="AH81" s="73"/>
      <c r="AI81" s="71"/>
      <c r="AJ81" s="71"/>
      <c r="AK81" s="71"/>
      <c r="AL81" s="72"/>
      <c r="AM81" s="110"/>
      <c r="AN81" s="79" t="str">
        <f t="shared" si="4"/>
        <v/>
      </c>
      <c r="AO81" s="80" t="str" cm="1">
        <f t="array" ref="AO81">IF(LEN(TRIM(B81))=0, "", COUNTA($D$11:$AL$11) - SUM(COUNTIF(D81:AL81, {"x","◢"})))</f>
        <v/>
      </c>
      <c r="AP81" s="147"/>
      <c r="AQ81" s="148"/>
      <c r="AR81" s="148"/>
      <c r="AS81" s="148"/>
      <c r="AT81" s="148"/>
      <c r="AU81" s="149"/>
    </row>
    <row r="82" spans="1:47" ht="21.75" customHeight="1" x14ac:dyDescent="0.25">
      <c r="A82" s="116"/>
      <c r="B82" s="281"/>
      <c r="C82" s="285"/>
      <c r="D82" s="69"/>
      <c r="E82" s="70"/>
      <c r="F82" s="71"/>
      <c r="G82" s="71"/>
      <c r="H82" s="72"/>
      <c r="I82" s="115"/>
      <c r="J82" s="73"/>
      <c r="K82" s="71"/>
      <c r="L82" s="71"/>
      <c r="M82" s="71"/>
      <c r="N82" s="72"/>
      <c r="O82" s="115"/>
      <c r="P82" s="73"/>
      <c r="Q82" s="71"/>
      <c r="R82" s="71"/>
      <c r="S82" s="71"/>
      <c r="T82" s="72"/>
      <c r="U82" s="115"/>
      <c r="V82" s="73"/>
      <c r="W82" s="71"/>
      <c r="X82" s="71"/>
      <c r="Y82" s="71"/>
      <c r="Z82" s="72"/>
      <c r="AA82" s="115"/>
      <c r="AB82" s="73"/>
      <c r="AC82" s="71"/>
      <c r="AD82" s="71"/>
      <c r="AE82" s="71"/>
      <c r="AF82" s="72"/>
      <c r="AG82" s="118"/>
      <c r="AH82" s="73"/>
      <c r="AI82" s="71"/>
      <c r="AJ82" s="71"/>
      <c r="AK82" s="71"/>
      <c r="AL82" s="72"/>
      <c r="AM82" s="110"/>
      <c r="AN82" s="79" t="str">
        <f t="shared" si="4"/>
        <v/>
      </c>
      <c r="AO82" s="80" t="str" cm="1">
        <f t="array" ref="AO82">IF(LEN(TRIM(B82))=0, "", COUNTA($D$11:$AL$11) - SUM(COUNTIF(D82:AL82, {"x","◢"})))</f>
        <v/>
      </c>
      <c r="AP82" s="147"/>
      <c r="AQ82" s="148"/>
      <c r="AR82" s="148"/>
      <c r="AS82" s="148"/>
      <c r="AT82" s="148"/>
      <c r="AU82" s="149"/>
    </row>
    <row r="83" spans="1:47" ht="21.75" customHeight="1" x14ac:dyDescent="0.25">
      <c r="A83" s="116"/>
      <c r="B83" s="281"/>
      <c r="C83" s="285"/>
      <c r="D83" s="69"/>
      <c r="E83" s="70"/>
      <c r="F83" s="71"/>
      <c r="G83" s="71"/>
      <c r="H83" s="72"/>
      <c r="I83" s="115"/>
      <c r="J83" s="73"/>
      <c r="K83" s="71"/>
      <c r="L83" s="71"/>
      <c r="M83" s="71"/>
      <c r="N83" s="72"/>
      <c r="O83" s="115"/>
      <c r="P83" s="73"/>
      <c r="Q83" s="71"/>
      <c r="R83" s="71"/>
      <c r="S83" s="71"/>
      <c r="T83" s="72"/>
      <c r="U83" s="115"/>
      <c r="V83" s="73"/>
      <c r="W83" s="71"/>
      <c r="X83" s="71"/>
      <c r="Y83" s="71"/>
      <c r="Z83" s="72"/>
      <c r="AA83" s="115"/>
      <c r="AB83" s="73"/>
      <c r="AC83" s="71"/>
      <c r="AD83" s="71"/>
      <c r="AE83" s="71"/>
      <c r="AF83" s="72"/>
      <c r="AG83" s="118"/>
      <c r="AH83" s="73"/>
      <c r="AI83" s="71"/>
      <c r="AJ83" s="71"/>
      <c r="AK83" s="71"/>
      <c r="AL83" s="72"/>
      <c r="AM83" s="110"/>
      <c r="AN83" s="79" t="str">
        <f t="shared" si="4"/>
        <v/>
      </c>
      <c r="AO83" s="80" t="str" cm="1">
        <f t="array" ref="AO83">IF(LEN(TRIM(B83))=0, "", COUNTA($D$11:$AL$11) - SUM(COUNTIF(D83:AL83, {"x","◢"})))</f>
        <v/>
      </c>
      <c r="AP83" s="147"/>
      <c r="AQ83" s="148"/>
      <c r="AR83" s="148"/>
      <c r="AS83" s="148"/>
      <c r="AT83" s="148"/>
      <c r="AU83" s="149"/>
    </row>
    <row r="84" spans="1:47" ht="21.75" customHeight="1" thickBot="1" x14ac:dyDescent="0.3">
      <c r="A84" s="116"/>
      <c r="B84" s="281"/>
      <c r="C84" s="282"/>
      <c r="D84" s="69"/>
      <c r="E84" s="70"/>
      <c r="F84" s="71"/>
      <c r="G84" s="71"/>
      <c r="H84" s="72"/>
      <c r="I84" s="115"/>
      <c r="J84" s="73"/>
      <c r="K84" s="71"/>
      <c r="L84" s="71"/>
      <c r="M84" s="71"/>
      <c r="N84" s="72"/>
      <c r="O84" s="115"/>
      <c r="P84" s="73"/>
      <c r="Q84" s="71"/>
      <c r="R84" s="71"/>
      <c r="S84" s="71"/>
      <c r="T84" s="72"/>
      <c r="U84" s="115"/>
      <c r="V84" s="73"/>
      <c r="W84" s="71"/>
      <c r="X84" s="71"/>
      <c r="Y84" s="71"/>
      <c r="Z84" s="72"/>
      <c r="AA84" s="115"/>
      <c r="AB84" s="73"/>
      <c r="AC84" s="71"/>
      <c r="AD84" s="71"/>
      <c r="AE84" s="71"/>
      <c r="AF84" s="72"/>
      <c r="AG84" s="118"/>
      <c r="AH84" s="73"/>
      <c r="AI84" s="71"/>
      <c r="AJ84" s="71"/>
      <c r="AK84" s="71"/>
      <c r="AL84" s="72"/>
      <c r="AM84" s="110"/>
      <c r="AN84" s="79" t="str">
        <f t="shared" si="4"/>
        <v/>
      </c>
      <c r="AO84" s="80" t="str" cm="1">
        <f t="array" ref="AO84">IF(LEN(TRIM(B84))=0, "", COUNTA($D$11:$AL$11) - SUM(COUNTIF(D84:AL84, {"x","◢"})))</f>
        <v/>
      </c>
      <c r="AP84" s="147"/>
      <c r="AQ84" s="148"/>
      <c r="AR84" s="148"/>
      <c r="AS84" s="148"/>
      <c r="AT84" s="148"/>
      <c r="AU84" s="149"/>
    </row>
    <row r="85" spans="1:47" ht="21.75" hidden="1" customHeight="1" x14ac:dyDescent="0.25">
      <c r="A85" s="116"/>
      <c r="B85" s="281"/>
      <c r="C85" s="285"/>
      <c r="D85" s="69"/>
      <c r="E85" s="70"/>
      <c r="F85" s="71"/>
      <c r="G85" s="71"/>
      <c r="H85" s="72"/>
      <c r="I85" s="115"/>
      <c r="J85" s="73"/>
      <c r="K85" s="71"/>
      <c r="L85" s="71"/>
      <c r="M85" s="71"/>
      <c r="N85" s="72"/>
      <c r="O85" s="115"/>
      <c r="P85" s="73"/>
      <c r="Q85" s="71"/>
      <c r="R85" s="71"/>
      <c r="S85" s="71"/>
      <c r="T85" s="72"/>
      <c r="U85" s="115"/>
      <c r="V85" s="73"/>
      <c r="W85" s="71"/>
      <c r="X85" s="71"/>
      <c r="Y85" s="71"/>
      <c r="Z85" s="72"/>
      <c r="AA85" s="115"/>
      <c r="AB85" s="73"/>
      <c r="AC85" s="71"/>
      <c r="AD85" s="71"/>
      <c r="AE85" s="71"/>
      <c r="AF85" s="72"/>
      <c r="AG85" s="118"/>
      <c r="AH85" s="73"/>
      <c r="AI85" s="71"/>
      <c r="AJ85" s="71"/>
      <c r="AK85" s="71"/>
      <c r="AL85" s="72"/>
      <c r="AM85" s="110"/>
      <c r="AN85" s="79" t="str">
        <f t="shared" ref="AN85:AN114" si="5">IF(COUNTIF(D85:AL85, "x")=0, "", COUNTIF(D85:AL85, "x"))</f>
        <v/>
      </c>
      <c r="AO85" s="80" t="str" cm="1">
        <f t="array" ref="AO85">IF(LEN(TRIM(B85))=0, "", COUNTA($D$11:$AL$11) - SUM(COUNTIF(D85:AL85, {"x","◢"})))</f>
        <v/>
      </c>
      <c r="AP85" s="147"/>
      <c r="AQ85" s="148"/>
      <c r="AR85" s="148"/>
      <c r="AS85" s="148"/>
      <c r="AT85" s="148"/>
      <c r="AU85" s="149"/>
    </row>
    <row r="86" spans="1:47" ht="21.75" hidden="1" customHeight="1" x14ac:dyDescent="0.25">
      <c r="A86" s="116"/>
      <c r="B86" s="281"/>
      <c r="C86" s="282"/>
      <c r="D86" s="69"/>
      <c r="E86" s="70"/>
      <c r="F86" s="71"/>
      <c r="G86" s="71"/>
      <c r="H86" s="72"/>
      <c r="I86" s="115"/>
      <c r="J86" s="73"/>
      <c r="K86" s="71"/>
      <c r="L86" s="71"/>
      <c r="M86" s="71"/>
      <c r="N86" s="72"/>
      <c r="O86" s="115"/>
      <c r="P86" s="73"/>
      <c r="Q86" s="71"/>
      <c r="R86" s="71"/>
      <c r="S86" s="71"/>
      <c r="T86" s="72"/>
      <c r="U86" s="115"/>
      <c r="V86" s="73"/>
      <c r="W86" s="71"/>
      <c r="X86" s="71"/>
      <c r="Y86" s="71"/>
      <c r="Z86" s="72"/>
      <c r="AA86" s="115"/>
      <c r="AB86" s="73"/>
      <c r="AC86" s="71"/>
      <c r="AD86" s="71"/>
      <c r="AE86" s="71"/>
      <c r="AF86" s="72"/>
      <c r="AG86" s="118"/>
      <c r="AH86" s="73"/>
      <c r="AI86" s="71"/>
      <c r="AJ86" s="71"/>
      <c r="AK86" s="71"/>
      <c r="AL86" s="72"/>
      <c r="AM86" s="110"/>
      <c r="AN86" s="79" t="str">
        <f t="shared" si="5"/>
        <v/>
      </c>
      <c r="AO86" s="80" t="str" cm="1">
        <f t="array" ref="AO86">IF(LEN(TRIM(B86))=0, "", COUNTA($D$11:$AL$11) - SUM(COUNTIF(D86:AL86, {"x","◢"})))</f>
        <v/>
      </c>
      <c r="AP86" s="147"/>
      <c r="AQ86" s="148"/>
      <c r="AR86" s="148"/>
      <c r="AS86" s="148"/>
      <c r="AT86" s="148"/>
      <c r="AU86" s="149"/>
    </row>
    <row r="87" spans="1:47" ht="21.75" hidden="1" customHeight="1" x14ac:dyDescent="0.25">
      <c r="A87" s="116"/>
      <c r="B87" s="281"/>
      <c r="C87" s="285"/>
      <c r="D87" s="69"/>
      <c r="E87" s="70"/>
      <c r="F87" s="71"/>
      <c r="G87" s="71"/>
      <c r="H87" s="72"/>
      <c r="I87" s="115"/>
      <c r="J87" s="73"/>
      <c r="K87" s="71"/>
      <c r="L87" s="71"/>
      <c r="M87" s="71"/>
      <c r="N87" s="72"/>
      <c r="O87" s="115"/>
      <c r="P87" s="73"/>
      <c r="Q87" s="71"/>
      <c r="R87" s="71"/>
      <c r="S87" s="71"/>
      <c r="T87" s="72"/>
      <c r="U87" s="115"/>
      <c r="V87" s="73"/>
      <c r="W87" s="71"/>
      <c r="X87" s="71"/>
      <c r="Y87" s="71"/>
      <c r="Z87" s="72"/>
      <c r="AA87" s="115"/>
      <c r="AB87" s="73"/>
      <c r="AC87" s="71"/>
      <c r="AD87" s="71"/>
      <c r="AE87" s="71"/>
      <c r="AF87" s="72"/>
      <c r="AG87" s="118"/>
      <c r="AH87" s="73"/>
      <c r="AI87" s="71"/>
      <c r="AJ87" s="71"/>
      <c r="AK87" s="71"/>
      <c r="AL87" s="72"/>
      <c r="AM87" s="110"/>
      <c r="AN87" s="79" t="str">
        <f t="shared" si="5"/>
        <v/>
      </c>
      <c r="AO87" s="80" t="str" cm="1">
        <f t="array" ref="AO87">IF(LEN(TRIM(B87))=0, "", COUNTA($D$11:$AL$11) - SUM(COUNTIF(D87:AL87, {"x","◢"})))</f>
        <v/>
      </c>
      <c r="AP87" s="147"/>
      <c r="AQ87" s="148"/>
      <c r="AR87" s="148"/>
      <c r="AS87" s="148"/>
      <c r="AT87" s="148"/>
      <c r="AU87" s="149"/>
    </row>
    <row r="88" spans="1:47" ht="21.75" hidden="1" customHeight="1" x14ac:dyDescent="0.25">
      <c r="A88" s="116"/>
      <c r="B88" s="281"/>
      <c r="C88" s="282"/>
      <c r="D88" s="69"/>
      <c r="E88" s="70"/>
      <c r="F88" s="71"/>
      <c r="G88" s="71"/>
      <c r="H88" s="72"/>
      <c r="I88" s="115"/>
      <c r="J88" s="73"/>
      <c r="K88" s="71"/>
      <c r="L88" s="71"/>
      <c r="M88" s="71"/>
      <c r="N88" s="72"/>
      <c r="O88" s="115"/>
      <c r="P88" s="73"/>
      <c r="Q88" s="71"/>
      <c r="R88" s="71"/>
      <c r="S88" s="71"/>
      <c r="T88" s="72"/>
      <c r="U88" s="115"/>
      <c r="V88" s="73"/>
      <c r="W88" s="71"/>
      <c r="X88" s="71"/>
      <c r="Y88" s="71"/>
      <c r="Z88" s="72"/>
      <c r="AA88" s="115"/>
      <c r="AB88" s="73"/>
      <c r="AC88" s="71"/>
      <c r="AD88" s="71"/>
      <c r="AE88" s="71"/>
      <c r="AF88" s="72"/>
      <c r="AG88" s="118"/>
      <c r="AH88" s="73"/>
      <c r="AI88" s="71"/>
      <c r="AJ88" s="71"/>
      <c r="AK88" s="71"/>
      <c r="AL88" s="72"/>
      <c r="AM88" s="110"/>
      <c r="AN88" s="79" t="str">
        <f t="shared" si="5"/>
        <v/>
      </c>
      <c r="AO88" s="80" t="str" cm="1">
        <f t="array" ref="AO88">IF(LEN(TRIM(B88))=0, "", COUNTA($D$11:$AL$11) - SUM(COUNTIF(D88:AL88, {"x","◢"})))</f>
        <v/>
      </c>
      <c r="AP88" s="147"/>
      <c r="AQ88" s="148"/>
      <c r="AR88" s="148"/>
      <c r="AS88" s="148"/>
      <c r="AT88" s="148"/>
      <c r="AU88" s="149"/>
    </row>
    <row r="89" spans="1:47" ht="21.75" hidden="1" customHeight="1" x14ac:dyDescent="0.25">
      <c r="A89" s="116"/>
      <c r="B89" s="281"/>
      <c r="C89" s="285"/>
      <c r="D89" s="69"/>
      <c r="E89" s="70"/>
      <c r="F89" s="71"/>
      <c r="G89" s="71"/>
      <c r="H89" s="72"/>
      <c r="I89" s="115"/>
      <c r="J89" s="73"/>
      <c r="K89" s="71"/>
      <c r="L89" s="71"/>
      <c r="M89" s="71"/>
      <c r="N89" s="72"/>
      <c r="O89" s="115"/>
      <c r="P89" s="73"/>
      <c r="Q89" s="71"/>
      <c r="R89" s="71"/>
      <c r="S89" s="71"/>
      <c r="T89" s="72"/>
      <c r="U89" s="115"/>
      <c r="V89" s="73"/>
      <c r="W89" s="71"/>
      <c r="X89" s="71"/>
      <c r="Y89" s="71"/>
      <c r="Z89" s="72"/>
      <c r="AA89" s="115"/>
      <c r="AB89" s="73"/>
      <c r="AC89" s="71"/>
      <c r="AD89" s="71"/>
      <c r="AE89" s="71"/>
      <c r="AF89" s="72"/>
      <c r="AG89" s="118"/>
      <c r="AH89" s="73"/>
      <c r="AI89" s="71"/>
      <c r="AJ89" s="71"/>
      <c r="AK89" s="71"/>
      <c r="AL89" s="72"/>
      <c r="AM89" s="110"/>
      <c r="AN89" s="79" t="str">
        <f t="shared" si="5"/>
        <v/>
      </c>
      <c r="AO89" s="80" t="str" cm="1">
        <f t="array" ref="AO89">IF(LEN(TRIM(B89))=0, "", COUNTA($D$11:$AL$11) - SUM(COUNTIF(D89:AL89, {"x","◢"})))</f>
        <v/>
      </c>
      <c r="AP89" s="147"/>
      <c r="AQ89" s="148"/>
      <c r="AR89" s="148"/>
      <c r="AS89" s="148"/>
      <c r="AT89" s="148"/>
      <c r="AU89" s="149"/>
    </row>
    <row r="90" spans="1:47" ht="21.75" hidden="1" customHeight="1" x14ac:dyDescent="0.25">
      <c r="A90" s="116"/>
      <c r="B90" s="281"/>
      <c r="C90" s="282"/>
      <c r="D90" s="69"/>
      <c r="E90" s="70"/>
      <c r="F90" s="71"/>
      <c r="G90" s="71"/>
      <c r="H90" s="72"/>
      <c r="I90" s="115"/>
      <c r="J90" s="73"/>
      <c r="K90" s="71"/>
      <c r="L90" s="71"/>
      <c r="M90" s="71"/>
      <c r="N90" s="72"/>
      <c r="O90" s="115"/>
      <c r="P90" s="73"/>
      <c r="Q90" s="71"/>
      <c r="R90" s="71"/>
      <c r="S90" s="71"/>
      <c r="T90" s="72"/>
      <c r="U90" s="115"/>
      <c r="V90" s="73"/>
      <c r="W90" s="71"/>
      <c r="X90" s="71"/>
      <c r="Y90" s="71"/>
      <c r="Z90" s="72"/>
      <c r="AA90" s="115"/>
      <c r="AB90" s="73"/>
      <c r="AC90" s="71"/>
      <c r="AD90" s="71"/>
      <c r="AE90" s="71"/>
      <c r="AF90" s="72"/>
      <c r="AG90" s="118"/>
      <c r="AH90" s="73"/>
      <c r="AI90" s="71"/>
      <c r="AJ90" s="71"/>
      <c r="AK90" s="71"/>
      <c r="AL90" s="72"/>
      <c r="AM90" s="110"/>
      <c r="AN90" s="79" t="str">
        <f t="shared" si="5"/>
        <v/>
      </c>
      <c r="AO90" s="80" t="str" cm="1">
        <f t="array" ref="AO90">IF(LEN(TRIM(B90))=0, "", COUNTA($D$11:$AL$11) - SUM(COUNTIF(D90:AL90, {"x","◢"})))</f>
        <v/>
      </c>
      <c r="AP90" s="147"/>
      <c r="AQ90" s="148"/>
      <c r="AR90" s="148"/>
      <c r="AS90" s="148"/>
      <c r="AT90" s="148"/>
      <c r="AU90" s="149"/>
    </row>
    <row r="91" spans="1:47" ht="21.75" hidden="1" customHeight="1" x14ac:dyDescent="0.25">
      <c r="A91" s="116"/>
      <c r="B91" s="281"/>
      <c r="C91" s="285"/>
      <c r="D91" s="69"/>
      <c r="E91" s="70"/>
      <c r="F91" s="71"/>
      <c r="G91" s="71"/>
      <c r="H91" s="72"/>
      <c r="I91" s="115"/>
      <c r="J91" s="73"/>
      <c r="K91" s="71"/>
      <c r="L91" s="71"/>
      <c r="M91" s="71"/>
      <c r="N91" s="72"/>
      <c r="O91" s="115"/>
      <c r="P91" s="73"/>
      <c r="Q91" s="71"/>
      <c r="R91" s="71"/>
      <c r="S91" s="71"/>
      <c r="T91" s="72"/>
      <c r="U91" s="115"/>
      <c r="V91" s="73"/>
      <c r="W91" s="71"/>
      <c r="X91" s="71"/>
      <c r="Y91" s="71"/>
      <c r="Z91" s="72"/>
      <c r="AA91" s="115"/>
      <c r="AB91" s="73"/>
      <c r="AC91" s="71"/>
      <c r="AD91" s="71"/>
      <c r="AE91" s="71"/>
      <c r="AF91" s="72"/>
      <c r="AG91" s="118"/>
      <c r="AH91" s="73"/>
      <c r="AI91" s="71"/>
      <c r="AJ91" s="71"/>
      <c r="AK91" s="71"/>
      <c r="AL91" s="72"/>
      <c r="AM91" s="110"/>
      <c r="AN91" s="79" t="str">
        <f t="shared" si="5"/>
        <v/>
      </c>
      <c r="AO91" s="80" t="str" cm="1">
        <f t="array" ref="AO91">IF(LEN(TRIM(B91))=0, "", COUNTA($D$11:$AL$11) - SUM(COUNTIF(D91:AL91, {"x","◢"})))</f>
        <v/>
      </c>
      <c r="AP91" s="147"/>
      <c r="AQ91" s="148"/>
      <c r="AR91" s="148"/>
      <c r="AS91" s="148"/>
      <c r="AT91" s="148"/>
      <c r="AU91" s="149"/>
    </row>
    <row r="92" spans="1:47" ht="21.75" hidden="1" customHeight="1" x14ac:dyDescent="0.25">
      <c r="A92" s="116"/>
      <c r="B92" s="281"/>
      <c r="C92" s="282"/>
      <c r="D92" s="69"/>
      <c r="E92" s="70"/>
      <c r="F92" s="71"/>
      <c r="G92" s="71"/>
      <c r="H92" s="72"/>
      <c r="I92" s="115"/>
      <c r="J92" s="73"/>
      <c r="K92" s="71"/>
      <c r="L92" s="71"/>
      <c r="M92" s="71"/>
      <c r="N92" s="72"/>
      <c r="O92" s="115"/>
      <c r="P92" s="73"/>
      <c r="Q92" s="71"/>
      <c r="R92" s="71"/>
      <c r="S92" s="71"/>
      <c r="T92" s="72"/>
      <c r="U92" s="115"/>
      <c r="V92" s="73"/>
      <c r="W92" s="71"/>
      <c r="X92" s="71"/>
      <c r="Y92" s="71"/>
      <c r="Z92" s="72"/>
      <c r="AA92" s="115"/>
      <c r="AB92" s="73"/>
      <c r="AC92" s="71"/>
      <c r="AD92" s="71"/>
      <c r="AE92" s="71"/>
      <c r="AF92" s="72"/>
      <c r="AG92" s="118"/>
      <c r="AH92" s="73"/>
      <c r="AI92" s="71"/>
      <c r="AJ92" s="71"/>
      <c r="AK92" s="71"/>
      <c r="AL92" s="72"/>
      <c r="AM92" s="110"/>
      <c r="AN92" s="79" t="str">
        <f t="shared" si="5"/>
        <v/>
      </c>
      <c r="AO92" s="80" t="str" cm="1">
        <f t="array" ref="AO92">IF(LEN(TRIM(B92))=0, "", COUNTA($D$11:$AL$11) - SUM(COUNTIF(D92:AL92, {"x","◢"})))</f>
        <v/>
      </c>
      <c r="AP92" s="147"/>
      <c r="AQ92" s="148"/>
      <c r="AR92" s="148"/>
      <c r="AS92" s="148"/>
      <c r="AT92" s="148"/>
      <c r="AU92" s="149"/>
    </row>
    <row r="93" spans="1:47" ht="21.75" hidden="1" customHeight="1" x14ac:dyDescent="0.25">
      <c r="A93" s="116"/>
      <c r="B93" s="281"/>
      <c r="C93" s="285"/>
      <c r="D93" s="69"/>
      <c r="E93" s="70"/>
      <c r="F93" s="71"/>
      <c r="G93" s="71"/>
      <c r="H93" s="72"/>
      <c r="I93" s="115"/>
      <c r="J93" s="73"/>
      <c r="K93" s="71"/>
      <c r="L93" s="71"/>
      <c r="M93" s="71"/>
      <c r="N93" s="72"/>
      <c r="O93" s="115"/>
      <c r="P93" s="73"/>
      <c r="Q93" s="71"/>
      <c r="R93" s="71"/>
      <c r="S93" s="71"/>
      <c r="T93" s="72"/>
      <c r="U93" s="115"/>
      <c r="V93" s="73"/>
      <c r="W93" s="71"/>
      <c r="X93" s="71"/>
      <c r="Y93" s="71"/>
      <c r="Z93" s="72"/>
      <c r="AA93" s="115"/>
      <c r="AB93" s="73"/>
      <c r="AC93" s="71"/>
      <c r="AD93" s="71"/>
      <c r="AE93" s="71"/>
      <c r="AF93" s="72"/>
      <c r="AG93" s="118"/>
      <c r="AH93" s="73"/>
      <c r="AI93" s="71"/>
      <c r="AJ93" s="71"/>
      <c r="AK93" s="71"/>
      <c r="AL93" s="72"/>
      <c r="AM93" s="110"/>
      <c r="AN93" s="79" t="str">
        <f t="shared" si="5"/>
        <v/>
      </c>
      <c r="AO93" s="80" t="str" cm="1">
        <f t="array" ref="AO93">IF(LEN(TRIM(B93))=0, "", COUNTA($D$11:$AL$11) - SUM(COUNTIF(D93:AL93, {"x","◢"})))</f>
        <v/>
      </c>
      <c r="AP93" s="147"/>
      <c r="AQ93" s="148"/>
      <c r="AR93" s="148"/>
      <c r="AS93" s="148"/>
      <c r="AT93" s="148"/>
      <c r="AU93" s="149"/>
    </row>
    <row r="94" spans="1:47" ht="21.75" hidden="1" customHeight="1" x14ac:dyDescent="0.25">
      <c r="A94" s="116"/>
      <c r="B94" s="281"/>
      <c r="C94" s="282"/>
      <c r="D94" s="69"/>
      <c r="E94" s="70"/>
      <c r="F94" s="71"/>
      <c r="G94" s="71"/>
      <c r="H94" s="72"/>
      <c r="I94" s="115"/>
      <c r="J94" s="73"/>
      <c r="K94" s="71"/>
      <c r="L94" s="71"/>
      <c r="M94" s="71"/>
      <c r="N94" s="72"/>
      <c r="O94" s="115"/>
      <c r="P94" s="73"/>
      <c r="Q94" s="71"/>
      <c r="R94" s="71"/>
      <c r="S94" s="71"/>
      <c r="T94" s="72"/>
      <c r="U94" s="115"/>
      <c r="V94" s="73"/>
      <c r="W94" s="71"/>
      <c r="X94" s="71"/>
      <c r="Y94" s="71"/>
      <c r="Z94" s="72"/>
      <c r="AA94" s="115"/>
      <c r="AB94" s="73"/>
      <c r="AC94" s="71"/>
      <c r="AD94" s="71"/>
      <c r="AE94" s="71"/>
      <c r="AF94" s="72"/>
      <c r="AG94" s="118"/>
      <c r="AH94" s="73"/>
      <c r="AI94" s="71"/>
      <c r="AJ94" s="71"/>
      <c r="AK94" s="71"/>
      <c r="AL94" s="72"/>
      <c r="AM94" s="110"/>
      <c r="AN94" s="79" t="str">
        <f t="shared" si="5"/>
        <v/>
      </c>
      <c r="AO94" s="80" t="str" cm="1">
        <f t="array" ref="AO94">IF(LEN(TRIM(B94))=0, "", COUNTA($D$11:$AL$11) - SUM(COUNTIF(D94:AL94, {"x","◢"})))</f>
        <v/>
      </c>
      <c r="AP94" s="147"/>
      <c r="AQ94" s="148"/>
      <c r="AR94" s="148"/>
      <c r="AS94" s="148"/>
      <c r="AT94" s="148"/>
      <c r="AU94" s="149"/>
    </row>
    <row r="95" spans="1:47" ht="21.75" hidden="1" customHeight="1" x14ac:dyDescent="0.25">
      <c r="A95" s="116"/>
      <c r="B95" s="281"/>
      <c r="C95" s="285"/>
      <c r="D95" s="69"/>
      <c r="E95" s="70"/>
      <c r="F95" s="71"/>
      <c r="G95" s="71"/>
      <c r="H95" s="72"/>
      <c r="I95" s="118"/>
      <c r="J95" s="73"/>
      <c r="K95" s="71"/>
      <c r="L95" s="71"/>
      <c r="M95" s="71"/>
      <c r="N95" s="72"/>
      <c r="O95" s="118"/>
      <c r="P95" s="73"/>
      <c r="Q95" s="71"/>
      <c r="R95" s="71"/>
      <c r="S95" s="71"/>
      <c r="T95" s="72"/>
      <c r="U95" s="118"/>
      <c r="V95" s="73"/>
      <c r="W95" s="71"/>
      <c r="X95" s="71"/>
      <c r="Y95" s="71"/>
      <c r="Z95" s="72"/>
      <c r="AA95" s="118"/>
      <c r="AB95" s="73"/>
      <c r="AC95" s="71"/>
      <c r="AD95" s="71"/>
      <c r="AE95" s="71"/>
      <c r="AF95" s="72"/>
      <c r="AG95" s="118"/>
      <c r="AH95" s="73"/>
      <c r="AI95" s="71"/>
      <c r="AJ95" s="71"/>
      <c r="AK95" s="71"/>
      <c r="AL95" s="72"/>
      <c r="AM95" s="110"/>
      <c r="AN95" s="79" t="str">
        <f t="shared" si="5"/>
        <v/>
      </c>
      <c r="AO95" s="80" t="str" cm="1">
        <f t="array" ref="AO95">IF(LEN(TRIM(B95))=0, "", COUNTA($D$11:$AL$11) - SUM(COUNTIF(D95:AL95, {"x","◢"})))</f>
        <v/>
      </c>
      <c r="AP95" s="147"/>
      <c r="AQ95" s="148"/>
      <c r="AR95" s="148"/>
      <c r="AS95" s="148"/>
      <c r="AT95" s="148"/>
      <c r="AU95" s="149"/>
    </row>
    <row r="96" spans="1:47" ht="21.75" hidden="1" customHeight="1" x14ac:dyDescent="0.25">
      <c r="A96" s="116"/>
      <c r="B96" s="281"/>
      <c r="C96" s="285"/>
      <c r="D96" s="74"/>
      <c r="E96" s="75"/>
      <c r="F96" s="76"/>
      <c r="G96" s="76"/>
      <c r="H96" s="77"/>
      <c r="I96" s="115"/>
      <c r="J96" s="78"/>
      <c r="K96" s="76"/>
      <c r="L96" s="76"/>
      <c r="M96" s="76"/>
      <c r="N96" s="77"/>
      <c r="O96" s="115"/>
      <c r="P96" s="78"/>
      <c r="Q96" s="76"/>
      <c r="R96" s="76"/>
      <c r="S96" s="76"/>
      <c r="T96" s="77"/>
      <c r="U96" s="115"/>
      <c r="V96" s="78"/>
      <c r="W96" s="76"/>
      <c r="X96" s="76"/>
      <c r="Y96" s="76"/>
      <c r="Z96" s="77"/>
      <c r="AA96" s="115"/>
      <c r="AB96" s="78"/>
      <c r="AC96" s="76"/>
      <c r="AD96" s="76"/>
      <c r="AE96" s="76"/>
      <c r="AF96" s="77"/>
      <c r="AG96" s="115"/>
      <c r="AH96" s="78"/>
      <c r="AI96" s="76"/>
      <c r="AJ96" s="76"/>
      <c r="AK96" s="76"/>
      <c r="AL96" s="77"/>
      <c r="AM96" s="110"/>
      <c r="AN96" s="79" t="str">
        <f t="shared" si="5"/>
        <v/>
      </c>
      <c r="AO96" s="80" t="str" cm="1">
        <f t="array" ref="AO96">IF(LEN(TRIM(B96))=0, "", COUNTA($D$11:$AL$11) - SUM(COUNTIF(D96:AL96, {"x","◢"})))</f>
        <v/>
      </c>
      <c r="AP96" s="186"/>
      <c r="AQ96" s="187"/>
      <c r="AR96" s="187"/>
      <c r="AS96" s="187"/>
      <c r="AT96" s="187"/>
      <c r="AU96" s="188"/>
    </row>
    <row r="97" spans="1:47" ht="21.75" hidden="1" customHeight="1" x14ac:dyDescent="0.25">
      <c r="A97" s="116"/>
      <c r="B97" s="281"/>
      <c r="C97" s="285"/>
      <c r="D97" s="69"/>
      <c r="E97" s="70"/>
      <c r="F97" s="71"/>
      <c r="G97" s="71"/>
      <c r="H97" s="72"/>
      <c r="I97" s="115"/>
      <c r="J97" s="73"/>
      <c r="K97" s="71"/>
      <c r="L97" s="71"/>
      <c r="M97" s="71"/>
      <c r="N97" s="72"/>
      <c r="O97" s="115"/>
      <c r="P97" s="73"/>
      <c r="Q97" s="71"/>
      <c r="R97" s="71"/>
      <c r="S97" s="71"/>
      <c r="T97" s="72"/>
      <c r="U97" s="115"/>
      <c r="V97" s="73"/>
      <c r="W97" s="71"/>
      <c r="X97" s="71"/>
      <c r="Y97" s="71"/>
      <c r="Z97" s="72"/>
      <c r="AA97" s="115"/>
      <c r="AB97" s="73"/>
      <c r="AC97" s="71"/>
      <c r="AD97" s="71"/>
      <c r="AE97" s="71"/>
      <c r="AF97" s="72"/>
      <c r="AG97" s="118"/>
      <c r="AH97" s="73"/>
      <c r="AI97" s="71"/>
      <c r="AJ97" s="71"/>
      <c r="AK97" s="71"/>
      <c r="AL97" s="72"/>
      <c r="AM97" s="110"/>
      <c r="AN97" s="79" t="str">
        <f t="shared" si="5"/>
        <v/>
      </c>
      <c r="AO97" s="80" t="str" cm="1">
        <f t="array" ref="AO97">IF(LEN(TRIM(B97))=0, "", COUNTA($D$11:$AL$11) - SUM(COUNTIF(D97:AL97, {"x","◢"})))</f>
        <v/>
      </c>
      <c r="AP97" s="147"/>
      <c r="AQ97" s="148"/>
      <c r="AR97" s="148"/>
      <c r="AS97" s="148"/>
      <c r="AT97" s="148"/>
      <c r="AU97" s="149"/>
    </row>
    <row r="98" spans="1:47" ht="21.75" hidden="1" customHeight="1" x14ac:dyDescent="0.25">
      <c r="A98" s="116"/>
      <c r="B98" s="281"/>
      <c r="C98" s="285"/>
      <c r="D98" s="69"/>
      <c r="E98" s="70"/>
      <c r="F98" s="71"/>
      <c r="G98" s="71"/>
      <c r="H98" s="72"/>
      <c r="I98" s="115"/>
      <c r="J98" s="73"/>
      <c r="K98" s="71"/>
      <c r="L98" s="71"/>
      <c r="M98" s="71"/>
      <c r="N98" s="72"/>
      <c r="O98" s="115"/>
      <c r="P98" s="73"/>
      <c r="Q98" s="71"/>
      <c r="R98" s="71"/>
      <c r="S98" s="71"/>
      <c r="T98" s="72"/>
      <c r="U98" s="115"/>
      <c r="V98" s="73"/>
      <c r="W98" s="71"/>
      <c r="X98" s="71"/>
      <c r="Y98" s="71"/>
      <c r="Z98" s="72"/>
      <c r="AA98" s="115"/>
      <c r="AB98" s="73"/>
      <c r="AC98" s="71"/>
      <c r="AD98" s="71"/>
      <c r="AE98" s="71"/>
      <c r="AF98" s="72"/>
      <c r="AG98" s="118"/>
      <c r="AH98" s="73"/>
      <c r="AI98" s="71"/>
      <c r="AJ98" s="71"/>
      <c r="AK98" s="71"/>
      <c r="AL98" s="72"/>
      <c r="AM98" s="110"/>
      <c r="AN98" s="79" t="str">
        <f t="shared" si="5"/>
        <v/>
      </c>
      <c r="AO98" s="80" t="str" cm="1">
        <f t="array" ref="AO98">IF(LEN(TRIM(B98))=0, "", COUNTA($D$11:$AL$11) - SUM(COUNTIF(D98:AL98, {"x","◢"})))</f>
        <v/>
      </c>
      <c r="AP98" s="147"/>
      <c r="AQ98" s="148"/>
      <c r="AR98" s="148"/>
      <c r="AS98" s="148"/>
      <c r="AT98" s="148"/>
      <c r="AU98" s="149"/>
    </row>
    <row r="99" spans="1:47" ht="21.75" hidden="1" customHeight="1" x14ac:dyDescent="0.25">
      <c r="A99" s="116"/>
      <c r="B99" s="281"/>
      <c r="C99" s="285"/>
      <c r="D99" s="69"/>
      <c r="E99" s="70"/>
      <c r="F99" s="71"/>
      <c r="G99" s="71"/>
      <c r="H99" s="72"/>
      <c r="I99" s="115"/>
      <c r="J99" s="73"/>
      <c r="K99" s="71"/>
      <c r="L99" s="71"/>
      <c r="M99" s="71"/>
      <c r="N99" s="72"/>
      <c r="O99" s="115"/>
      <c r="P99" s="73"/>
      <c r="Q99" s="71"/>
      <c r="R99" s="71"/>
      <c r="S99" s="71"/>
      <c r="T99" s="72"/>
      <c r="U99" s="115"/>
      <c r="V99" s="73"/>
      <c r="W99" s="71"/>
      <c r="X99" s="71"/>
      <c r="Y99" s="71"/>
      <c r="Z99" s="72"/>
      <c r="AA99" s="115"/>
      <c r="AB99" s="73"/>
      <c r="AC99" s="71"/>
      <c r="AD99" s="71"/>
      <c r="AE99" s="71"/>
      <c r="AF99" s="72"/>
      <c r="AG99" s="118"/>
      <c r="AH99" s="73"/>
      <c r="AI99" s="71"/>
      <c r="AJ99" s="71"/>
      <c r="AK99" s="71"/>
      <c r="AL99" s="72"/>
      <c r="AM99" s="110"/>
      <c r="AN99" s="79" t="str">
        <f t="shared" si="5"/>
        <v/>
      </c>
      <c r="AO99" s="80" t="str" cm="1">
        <f t="array" ref="AO99">IF(LEN(TRIM(B99))=0, "", COUNTA($D$11:$AL$11) - SUM(COUNTIF(D99:AL99, {"x","◢"})))</f>
        <v/>
      </c>
      <c r="AP99" s="147"/>
      <c r="AQ99" s="148"/>
      <c r="AR99" s="148"/>
      <c r="AS99" s="148"/>
      <c r="AT99" s="148"/>
      <c r="AU99" s="149"/>
    </row>
    <row r="100" spans="1:47" ht="21.75" hidden="1" customHeight="1" x14ac:dyDescent="0.25">
      <c r="A100" s="116"/>
      <c r="B100" s="281"/>
      <c r="C100" s="282"/>
      <c r="D100" s="69"/>
      <c r="E100" s="70"/>
      <c r="F100" s="71"/>
      <c r="G100" s="71"/>
      <c r="H100" s="72"/>
      <c r="I100" s="115"/>
      <c r="J100" s="73"/>
      <c r="K100" s="71"/>
      <c r="L100" s="71"/>
      <c r="M100" s="71"/>
      <c r="N100" s="72"/>
      <c r="O100" s="115"/>
      <c r="P100" s="73"/>
      <c r="Q100" s="71"/>
      <c r="R100" s="71"/>
      <c r="S100" s="71"/>
      <c r="T100" s="72"/>
      <c r="U100" s="115"/>
      <c r="V100" s="73"/>
      <c r="W100" s="71"/>
      <c r="X100" s="71"/>
      <c r="Y100" s="71"/>
      <c r="Z100" s="72"/>
      <c r="AA100" s="115"/>
      <c r="AB100" s="73"/>
      <c r="AC100" s="71"/>
      <c r="AD100" s="71"/>
      <c r="AE100" s="71"/>
      <c r="AF100" s="72"/>
      <c r="AG100" s="118"/>
      <c r="AH100" s="73"/>
      <c r="AI100" s="71"/>
      <c r="AJ100" s="71"/>
      <c r="AK100" s="71"/>
      <c r="AL100" s="72"/>
      <c r="AM100" s="110"/>
      <c r="AN100" s="79" t="str">
        <f t="shared" si="5"/>
        <v/>
      </c>
      <c r="AO100" s="80" t="str" cm="1">
        <f t="array" ref="AO100">IF(LEN(TRIM(B100))=0, "", COUNTA($D$11:$AL$11) - SUM(COUNTIF(D100:AL100, {"x","◢"})))</f>
        <v/>
      </c>
      <c r="AP100" s="147"/>
      <c r="AQ100" s="148"/>
      <c r="AR100" s="148"/>
      <c r="AS100" s="148"/>
      <c r="AT100" s="148"/>
      <c r="AU100" s="149"/>
    </row>
    <row r="101" spans="1:47" ht="21.75" hidden="1" customHeight="1" x14ac:dyDescent="0.25">
      <c r="A101" s="116"/>
      <c r="B101" s="281"/>
      <c r="C101" s="285"/>
      <c r="D101" s="69"/>
      <c r="E101" s="70"/>
      <c r="F101" s="71"/>
      <c r="G101" s="71"/>
      <c r="H101" s="72"/>
      <c r="I101" s="115"/>
      <c r="J101" s="73"/>
      <c r="K101" s="71"/>
      <c r="L101" s="71"/>
      <c r="M101" s="71"/>
      <c r="N101" s="72"/>
      <c r="O101" s="115"/>
      <c r="P101" s="73"/>
      <c r="Q101" s="71"/>
      <c r="R101" s="71"/>
      <c r="S101" s="71"/>
      <c r="T101" s="72"/>
      <c r="U101" s="115"/>
      <c r="V101" s="73"/>
      <c r="W101" s="71"/>
      <c r="X101" s="71"/>
      <c r="Y101" s="71"/>
      <c r="Z101" s="72"/>
      <c r="AA101" s="115"/>
      <c r="AB101" s="73"/>
      <c r="AC101" s="71"/>
      <c r="AD101" s="71"/>
      <c r="AE101" s="71"/>
      <c r="AF101" s="72"/>
      <c r="AG101" s="118"/>
      <c r="AH101" s="73"/>
      <c r="AI101" s="71"/>
      <c r="AJ101" s="71"/>
      <c r="AK101" s="71"/>
      <c r="AL101" s="72"/>
      <c r="AM101" s="110"/>
      <c r="AN101" s="79" t="str">
        <f t="shared" si="5"/>
        <v/>
      </c>
      <c r="AO101" s="80" t="str" cm="1">
        <f t="array" ref="AO101">IF(LEN(TRIM(B101))=0, "", COUNTA($D$11:$AL$11) - SUM(COUNTIF(D101:AL101, {"x","◢"})))</f>
        <v/>
      </c>
      <c r="AP101" s="147"/>
      <c r="AQ101" s="148"/>
      <c r="AR101" s="148"/>
      <c r="AS101" s="148"/>
      <c r="AT101" s="148"/>
      <c r="AU101" s="149"/>
    </row>
    <row r="102" spans="1:47" ht="21.75" hidden="1" customHeight="1" x14ac:dyDescent="0.25">
      <c r="A102" s="116"/>
      <c r="B102" s="281"/>
      <c r="C102" s="282"/>
      <c r="D102" s="69"/>
      <c r="E102" s="70"/>
      <c r="F102" s="71"/>
      <c r="G102" s="71"/>
      <c r="H102" s="72"/>
      <c r="I102" s="115"/>
      <c r="J102" s="73"/>
      <c r="K102" s="71"/>
      <c r="L102" s="71"/>
      <c r="M102" s="71"/>
      <c r="N102" s="72"/>
      <c r="O102" s="115"/>
      <c r="P102" s="73"/>
      <c r="Q102" s="71"/>
      <c r="R102" s="71"/>
      <c r="S102" s="71"/>
      <c r="T102" s="72"/>
      <c r="U102" s="115"/>
      <c r="V102" s="73"/>
      <c r="W102" s="71"/>
      <c r="X102" s="71"/>
      <c r="Y102" s="71"/>
      <c r="Z102" s="72"/>
      <c r="AA102" s="115"/>
      <c r="AB102" s="73"/>
      <c r="AC102" s="71"/>
      <c r="AD102" s="71"/>
      <c r="AE102" s="71"/>
      <c r="AF102" s="72"/>
      <c r="AG102" s="118"/>
      <c r="AH102" s="73"/>
      <c r="AI102" s="71"/>
      <c r="AJ102" s="71"/>
      <c r="AK102" s="71"/>
      <c r="AL102" s="72"/>
      <c r="AM102" s="110"/>
      <c r="AN102" s="79" t="str">
        <f t="shared" si="5"/>
        <v/>
      </c>
      <c r="AO102" s="80" t="str" cm="1">
        <f t="array" ref="AO102">IF(LEN(TRIM(B102))=0, "", COUNTA($D$11:$AL$11) - SUM(COUNTIF(D102:AL102, {"x","◢"})))</f>
        <v/>
      </c>
      <c r="AP102" s="147"/>
      <c r="AQ102" s="148"/>
      <c r="AR102" s="148"/>
      <c r="AS102" s="148"/>
      <c r="AT102" s="148"/>
      <c r="AU102" s="149"/>
    </row>
    <row r="103" spans="1:47" ht="21.75" hidden="1" customHeight="1" x14ac:dyDescent="0.25">
      <c r="A103" s="116"/>
      <c r="B103" s="281"/>
      <c r="C103" s="285"/>
      <c r="D103" s="69"/>
      <c r="E103" s="70"/>
      <c r="F103" s="71"/>
      <c r="G103" s="71"/>
      <c r="H103" s="72"/>
      <c r="I103" s="115"/>
      <c r="J103" s="73"/>
      <c r="K103" s="71"/>
      <c r="L103" s="71"/>
      <c r="M103" s="71"/>
      <c r="N103" s="72"/>
      <c r="O103" s="115"/>
      <c r="P103" s="73"/>
      <c r="Q103" s="71"/>
      <c r="R103" s="71"/>
      <c r="S103" s="71"/>
      <c r="T103" s="72"/>
      <c r="U103" s="115"/>
      <c r="V103" s="73"/>
      <c r="W103" s="71"/>
      <c r="X103" s="71"/>
      <c r="Y103" s="71"/>
      <c r="Z103" s="72"/>
      <c r="AA103" s="115"/>
      <c r="AB103" s="73"/>
      <c r="AC103" s="71"/>
      <c r="AD103" s="71"/>
      <c r="AE103" s="71"/>
      <c r="AF103" s="72"/>
      <c r="AG103" s="118"/>
      <c r="AH103" s="73"/>
      <c r="AI103" s="71"/>
      <c r="AJ103" s="71"/>
      <c r="AK103" s="71"/>
      <c r="AL103" s="72"/>
      <c r="AM103" s="110"/>
      <c r="AN103" s="79" t="str">
        <f t="shared" si="5"/>
        <v/>
      </c>
      <c r="AO103" s="80" t="str" cm="1">
        <f t="array" ref="AO103">IF(LEN(TRIM(B103))=0, "", COUNTA($D$11:$AL$11) - SUM(COUNTIF(D103:AL103, {"x","◢"})))</f>
        <v/>
      </c>
      <c r="AP103" s="147"/>
      <c r="AQ103" s="148"/>
      <c r="AR103" s="148"/>
      <c r="AS103" s="148"/>
      <c r="AT103" s="148"/>
      <c r="AU103" s="149"/>
    </row>
    <row r="104" spans="1:47" ht="21.75" hidden="1" customHeight="1" x14ac:dyDescent="0.25">
      <c r="A104" s="116"/>
      <c r="B104" s="281"/>
      <c r="C104" s="282"/>
      <c r="D104" s="69"/>
      <c r="E104" s="70"/>
      <c r="F104" s="71"/>
      <c r="G104" s="71"/>
      <c r="H104" s="72"/>
      <c r="I104" s="115"/>
      <c r="J104" s="73"/>
      <c r="K104" s="71"/>
      <c r="L104" s="71"/>
      <c r="M104" s="71"/>
      <c r="N104" s="72"/>
      <c r="O104" s="115"/>
      <c r="P104" s="73"/>
      <c r="Q104" s="71"/>
      <c r="R104" s="71"/>
      <c r="S104" s="71"/>
      <c r="T104" s="72"/>
      <c r="U104" s="115"/>
      <c r="V104" s="73"/>
      <c r="W104" s="71"/>
      <c r="X104" s="71"/>
      <c r="Y104" s="71"/>
      <c r="Z104" s="72"/>
      <c r="AA104" s="115"/>
      <c r="AB104" s="73"/>
      <c r="AC104" s="71"/>
      <c r="AD104" s="71"/>
      <c r="AE104" s="71"/>
      <c r="AF104" s="72"/>
      <c r="AG104" s="118"/>
      <c r="AH104" s="73"/>
      <c r="AI104" s="71"/>
      <c r="AJ104" s="71"/>
      <c r="AK104" s="71"/>
      <c r="AL104" s="72"/>
      <c r="AM104" s="110"/>
      <c r="AN104" s="79" t="str">
        <f t="shared" si="5"/>
        <v/>
      </c>
      <c r="AO104" s="80" t="str" cm="1">
        <f t="array" ref="AO104">IF(LEN(TRIM(B104))=0, "", COUNTA($D$11:$AL$11) - SUM(COUNTIF(D104:AL104, {"x","◢"})))</f>
        <v/>
      </c>
      <c r="AP104" s="147"/>
      <c r="AQ104" s="148"/>
      <c r="AR104" s="148"/>
      <c r="AS104" s="148"/>
      <c r="AT104" s="148"/>
      <c r="AU104" s="149"/>
    </row>
    <row r="105" spans="1:47" ht="21.75" hidden="1" customHeight="1" x14ac:dyDescent="0.25">
      <c r="A105" s="116"/>
      <c r="B105" s="281"/>
      <c r="C105" s="285"/>
      <c r="D105" s="69"/>
      <c r="E105" s="70"/>
      <c r="F105" s="71"/>
      <c r="G105" s="71"/>
      <c r="H105" s="72"/>
      <c r="I105" s="115"/>
      <c r="J105" s="73"/>
      <c r="K105" s="71"/>
      <c r="L105" s="71"/>
      <c r="M105" s="71"/>
      <c r="N105" s="72"/>
      <c r="O105" s="115"/>
      <c r="P105" s="73"/>
      <c r="Q105" s="71"/>
      <c r="R105" s="71"/>
      <c r="S105" s="71"/>
      <c r="T105" s="72"/>
      <c r="U105" s="115"/>
      <c r="V105" s="73"/>
      <c r="W105" s="71"/>
      <c r="X105" s="71"/>
      <c r="Y105" s="71"/>
      <c r="Z105" s="72"/>
      <c r="AA105" s="115"/>
      <c r="AB105" s="73"/>
      <c r="AC105" s="71"/>
      <c r="AD105" s="71"/>
      <c r="AE105" s="71"/>
      <c r="AF105" s="72"/>
      <c r="AG105" s="118"/>
      <c r="AH105" s="73"/>
      <c r="AI105" s="71"/>
      <c r="AJ105" s="71"/>
      <c r="AK105" s="71"/>
      <c r="AL105" s="72"/>
      <c r="AM105" s="110"/>
      <c r="AN105" s="79" t="str">
        <f t="shared" si="5"/>
        <v/>
      </c>
      <c r="AO105" s="80" t="str" cm="1">
        <f t="array" ref="AO105">IF(LEN(TRIM(B105))=0, "", COUNTA($D$11:$AL$11) - SUM(COUNTIF(D105:AL105, {"x","◢"})))</f>
        <v/>
      </c>
      <c r="AP105" s="147"/>
      <c r="AQ105" s="148"/>
      <c r="AR105" s="148"/>
      <c r="AS105" s="148"/>
      <c r="AT105" s="148"/>
      <c r="AU105" s="149"/>
    </row>
    <row r="106" spans="1:47" ht="21.75" hidden="1" customHeight="1" x14ac:dyDescent="0.25">
      <c r="A106" s="116"/>
      <c r="B106" s="281"/>
      <c r="C106" s="282"/>
      <c r="D106" s="69"/>
      <c r="E106" s="70"/>
      <c r="F106" s="71"/>
      <c r="G106" s="71"/>
      <c r="H106" s="72"/>
      <c r="I106" s="115"/>
      <c r="J106" s="73"/>
      <c r="K106" s="71"/>
      <c r="L106" s="71"/>
      <c r="M106" s="71"/>
      <c r="N106" s="72"/>
      <c r="O106" s="115"/>
      <c r="P106" s="73"/>
      <c r="Q106" s="71"/>
      <c r="R106" s="71"/>
      <c r="S106" s="71"/>
      <c r="T106" s="72"/>
      <c r="U106" s="115"/>
      <c r="V106" s="73"/>
      <c r="W106" s="71"/>
      <c r="X106" s="71"/>
      <c r="Y106" s="71"/>
      <c r="Z106" s="72"/>
      <c r="AA106" s="115"/>
      <c r="AB106" s="73"/>
      <c r="AC106" s="71"/>
      <c r="AD106" s="71"/>
      <c r="AE106" s="71"/>
      <c r="AF106" s="72"/>
      <c r="AG106" s="118"/>
      <c r="AH106" s="73"/>
      <c r="AI106" s="71"/>
      <c r="AJ106" s="71"/>
      <c r="AK106" s="71"/>
      <c r="AL106" s="72"/>
      <c r="AM106" s="110"/>
      <c r="AN106" s="79" t="str">
        <f t="shared" si="5"/>
        <v/>
      </c>
      <c r="AO106" s="80" t="str" cm="1">
        <f t="array" ref="AO106">IF(LEN(TRIM(B106))=0, "", COUNTA($D$11:$AL$11) - SUM(COUNTIF(D106:AL106, {"x","◢"})))</f>
        <v/>
      </c>
      <c r="AP106" s="147"/>
      <c r="AQ106" s="148"/>
      <c r="AR106" s="148"/>
      <c r="AS106" s="148"/>
      <c r="AT106" s="148"/>
      <c r="AU106" s="149"/>
    </row>
    <row r="107" spans="1:47" ht="21.75" hidden="1" customHeight="1" x14ac:dyDescent="0.25">
      <c r="A107" s="116"/>
      <c r="B107" s="281"/>
      <c r="C107" s="285"/>
      <c r="D107" s="69"/>
      <c r="E107" s="70"/>
      <c r="F107" s="71"/>
      <c r="G107" s="71"/>
      <c r="H107" s="72"/>
      <c r="I107" s="115"/>
      <c r="J107" s="73"/>
      <c r="K107" s="71"/>
      <c r="L107" s="71"/>
      <c r="M107" s="71"/>
      <c r="N107" s="72"/>
      <c r="O107" s="115"/>
      <c r="P107" s="73"/>
      <c r="Q107" s="71"/>
      <c r="R107" s="71"/>
      <c r="S107" s="71"/>
      <c r="T107" s="72"/>
      <c r="U107" s="115"/>
      <c r="V107" s="73"/>
      <c r="W107" s="71"/>
      <c r="X107" s="71"/>
      <c r="Y107" s="71"/>
      <c r="Z107" s="72"/>
      <c r="AA107" s="115"/>
      <c r="AB107" s="73"/>
      <c r="AC107" s="71"/>
      <c r="AD107" s="71"/>
      <c r="AE107" s="71"/>
      <c r="AF107" s="72"/>
      <c r="AG107" s="118"/>
      <c r="AH107" s="73"/>
      <c r="AI107" s="71"/>
      <c r="AJ107" s="71"/>
      <c r="AK107" s="71"/>
      <c r="AL107" s="72"/>
      <c r="AM107" s="110"/>
      <c r="AN107" s="79" t="str">
        <f t="shared" si="5"/>
        <v/>
      </c>
      <c r="AO107" s="80" t="str" cm="1">
        <f t="array" ref="AO107">IF(LEN(TRIM(B107))=0, "", COUNTA($D$11:$AL$11) - SUM(COUNTIF(D107:AL107, {"x","◢"})))</f>
        <v/>
      </c>
      <c r="AP107" s="147"/>
      <c r="AQ107" s="148"/>
      <c r="AR107" s="148"/>
      <c r="AS107" s="148"/>
      <c r="AT107" s="148"/>
      <c r="AU107" s="149"/>
    </row>
    <row r="108" spans="1:47" ht="21.75" hidden="1" customHeight="1" x14ac:dyDescent="0.25">
      <c r="A108" s="116"/>
      <c r="B108" s="281"/>
      <c r="C108" s="282"/>
      <c r="D108" s="69"/>
      <c r="E108" s="70"/>
      <c r="F108" s="71"/>
      <c r="G108" s="71"/>
      <c r="H108" s="72"/>
      <c r="I108" s="115"/>
      <c r="J108" s="73"/>
      <c r="K108" s="71"/>
      <c r="L108" s="71"/>
      <c r="M108" s="71"/>
      <c r="N108" s="72"/>
      <c r="O108" s="115"/>
      <c r="P108" s="73"/>
      <c r="Q108" s="71"/>
      <c r="R108" s="71"/>
      <c r="S108" s="71"/>
      <c r="T108" s="72"/>
      <c r="U108" s="115"/>
      <c r="V108" s="73"/>
      <c r="W108" s="71"/>
      <c r="X108" s="71"/>
      <c r="Y108" s="71"/>
      <c r="Z108" s="72"/>
      <c r="AA108" s="115"/>
      <c r="AB108" s="73"/>
      <c r="AC108" s="71"/>
      <c r="AD108" s="71"/>
      <c r="AE108" s="71"/>
      <c r="AF108" s="72"/>
      <c r="AG108" s="118"/>
      <c r="AH108" s="73"/>
      <c r="AI108" s="71"/>
      <c r="AJ108" s="71"/>
      <c r="AK108" s="71"/>
      <c r="AL108" s="72"/>
      <c r="AM108" s="110"/>
      <c r="AN108" s="79" t="str">
        <f t="shared" si="5"/>
        <v/>
      </c>
      <c r="AO108" s="80" t="str" cm="1">
        <f t="array" ref="AO108">IF(LEN(TRIM(B108))=0, "", COUNTA($D$11:$AL$11) - SUM(COUNTIF(D108:AL108, {"x","◢"})))</f>
        <v/>
      </c>
      <c r="AP108" s="147"/>
      <c r="AQ108" s="148"/>
      <c r="AR108" s="148"/>
      <c r="AS108" s="148"/>
      <c r="AT108" s="148"/>
      <c r="AU108" s="149"/>
    </row>
    <row r="109" spans="1:47" ht="21.75" hidden="1" customHeight="1" x14ac:dyDescent="0.25">
      <c r="A109" s="116"/>
      <c r="B109" s="281"/>
      <c r="C109" s="285"/>
      <c r="D109" s="69"/>
      <c r="E109" s="70"/>
      <c r="F109" s="71"/>
      <c r="G109" s="71"/>
      <c r="H109" s="72"/>
      <c r="I109" s="115"/>
      <c r="J109" s="73"/>
      <c r="K109" s="71"/>
      <c r="L109" s="71"/>
      <c r="M109" s="71"/>
      <c r="N109" s="72"/>
      <c r="O109" s="115"/>
      <c r="P109" s="73"/>
      <c r="Q109" s="71"/>
      <c r="R109" s="71"/>
      <c r="S109" s="71"/>
      <c r="T109" s="72"/>
      <c r="U109" s="115"/>
      <c r="V109" s="73"/>
      <c r="W109" s="71"/>
      <c r="X109" s="71"/>
      <c r="Y109" s="71"/>
      <c r="Z109" s="72"/>
      <c r="AA109" s="115"/>
      <c r="AB109" s="73"/>
      <c r="AC109" s="71"/>
      <c r="AD109" s="71"/>
      <c r="AE109" s="71"/>
      <c r="AF109" s="72"/>
      <c r="AG109" s="118"/>
      <c r="AH109" s="73"/>
      <c r="AI109" s="71"/>
      <c r="AJ109" s="71"/>
      <c r="AK109" s="71"/>
      <c r="AL109" s="72"/>
      <c r="AM109" s="110"/>
      <c r="AN109" s="79" t="str">
        <f t="shared" si="5"/>
        <v/>
      </c>
      <c r="AO109" s="80" t="str" cm="1">
        <f t="array" ref="AO109">IF(LEN(TRIM(B109))=0, "", COUNTA($D$11:$AL$11) - SUM(COUNTIF(D109:AL109, {"x","◢"})))</f>
        <v/>
      </c>
      <c r="AP109" s="147"/>
      <c r="AQ109" s="148"/>
      <c r="AR109" s="148"/>
      <c r="AS109" s="148"/>
      <c r="AT109" s="148"/>
      <c r="AU109" s="149"/>
    </row>
    <row r="110" spans="1:47" ht="21.75" hidden="1" customHeight="1" x14ac:dyDescent="0.25">
      <c r="A110" s="116"/>
      <c r="B110" s="281"/>
      <c r="C110" s="282"/>
      <c r="D110" s="69"/>
      <c r="E110" s="70"/>
      <c r="F110" s="71"/>
      <c r="G110" s="71"/>
      <c r="H110" s="72"/>
      <c r="I110" s="115"/>
      <c r="J110" s="73"/>
      <c r="K110" s="71"/>
      <c r="L110" s="71"/>
      <c r="M110" s="71"/>
      <c r="N110" s="72"/>
      <c r="O110" s="115"/>
      <c r="P110" s="73"/>
      <c r="Q110" s="71"/>
      <c r="R110" s="71"/>
      <c r="S110" s="71"/>
      <c r="T110" s="72"/>
      <c r="U110" s="115"/>
      <c r="V110" s="73"/>
      <c r="W110" s="71"/>
      <c r="X110" s="71"/>
      <c r="Y110" s="71"/>
      <c r="Z110" s="72"/>
      <c r="AA110" s="115"/>
      <c r="AB110" s="73"/>
      <c r="AC110" s="71"/>
      <c r="AD110" s="71"/>
      <c r="AE110" s="71"/>
      <c r="AF110" s="72"/>
      <c r="AG110" s="118"/>
      <c r="AH110" s="73"/>
      <c r="AI110" s="71"/>
      <c r="AJ110" s="71"/>
      <c r="AK110" s="71"/>
      <c r="AL110" s="72"/>
      <c r="AM110" s="110"/>
      <c r="AN110" s="79" t="str">
        <f t="shared" si="5"/>
        <v/>
      </c>
      <c r="AO110" s="80" t="str" cm="1">
        <f t="array" ref="AO110">IF(LEN(TRIM(B110))=0, "", COUNTA($D$11:$AL$11) - SUM(COUNTIF(D110:AL110, {"x","◢"})))</f>
        <v/>
      </c>
      <c r="AP110" s="147"/>
      <c r="AQ110" s="148"/>
      <c r="AR110" s="148"/>
      <c r="AS110" s="148"/>
      <c r="AT110" s="148"/>
      <c r="AU110" s="149"/>
    </row>
    <row r="111" spans="1:47" ht="21.75" hidden="1" customHeight="1" x14ac:dyDescent="0.25">
      <c r="A111" s="116"/>
      <c r="B111" s="281"/>
      <c r="C111" s="285"/>
      <c r="D111" s="69"/>
      <c r="E111" s="70"/>
      <c r="F111" s="71"/>
      <c r="G111" s="71"/>
      <c r="H111" s="72"/>
      <c r="I111" s="115"/>
      <c r="J111" s="73"/>
      <c r="K111" s="71"/>
      <c r="L111" s="71"/>
      <c r="M111" s="71"/>
      <c r="N111" s="72"/>
      <c r="O111" s="115"/>
      <c r="P111" s="73"/>
      <c r="Q111" s="71"/>
      <c r="R111" s="71"/>
      <c r="S111" s="71"/>
      <c r="T111" s="72"/>
      <c r="U111" s="115"/>
      <c r="V111" s="73"/>
      <c r="W111" s="71"/>
      <c r="X111" s="71"/>
      <c r="Y111" s="71"/>
      <c r="Z111" s="72"/>
      <c r="AA111" s="115"/>
      <c r="AB111" s="73"/>
      <c r="AC111" s="71"/>
      <c r="AD111" s="71"/>
      <c r="AE111" s="71"/>
      <c r="AF111" s="72"/>
      <c r="AG111" s="118"/>
      <c r="AH111" s="73"/>
      <c r="AI111" s="71"/>
      <c r="AJ111" s="71"/>
      <c r="AK111" s="71"/>
      <c r="AL111" s="72"/>
      <c r="AM111" s="110"/>
      <c r="AN111" s="79" t="str">
        <f t="shared" si="5"/>
        <v/>
      </c>
      <c r="AO111" s="80" t="str" cm="1">
        <f t="array" ref="AO111">IF(LEN(TRIM(B111))=0, "", COUNTA($D$11:$AL$11) - SUM(COUNTIF(D111:AL111, {"x","◢"})))</f>
        <v/>
      </c>
      <c r="AP111" s="147"/>
      <c r="AQ111" s="148"/>
      <c r="AR111" s="148"/>
      <c r="AS111" s="148"/>
      <c r="AT111" s="148"/>
      <c r="AU111" s="149"/>
    </row>
    <row r="112" spans="1:47" ht="21.75" hidden="1" customHeight="1" x14ac:dyDescent="0.25">
      <c r="A112" s="116"/>
      <c r="B112" s="281"/>
      <c r="C112" s="282"/>
      <c r="D112" s="69"/>
      <c r="E112" s="70"/>
      <c r="F112" s="71"/>
      <c r="G112" s="71"/>
      <c r="H112" s="72"/>
      <c r="I112" s="115"/>
      <c r="J112" s="73"/>
      <c r="K112" s="71"/>
      <c r="L112" s="71"/>
      <c r="M112" s="71"/>
      <c r="N112" s="72"/>
      <c r="O112" s="115"/>
      <c r="P112" s="73"/>
      <c r="Q112" s="71"/>
      <c r="R112" s="71"/>
      <c r="S112" s="71"/>
      <c r="T112" s="72"/>
      <c r="U112" s="115"/>
      <c r="V112" s="73"/>
      <c r="W112" s="71"/>
      <c r="X112" s="71"/>
      <c r="Y112" s="71"/>
      <c r="Z112" s="72"/>
      <c r="AA112" s="115"/>
      <c r="AB112" s="73"/>
      <c r="AC112" s="71"/>
      <c r="AD112" s="71"/>
      <c r="AE112" s="71"/>
      <c r="AF112" s="72"/>
      <c r="AG112" s="118"/>
      <c r="AH112" s="73"/>
      <c r="AI112" s="71"/>
      <c r="AJ112" s="71"/>
      <c r="AK112" s="71"/>
      <c r="AL112" s="72"/>
      <c r="AM112" s="110"/>
      <c r="AN112" s="79" t="str">
        <f t="shared" si="5"/>
        <v/>
      </c>
      <c r="AO112" s="80" t="str" cm="1">
        <f t="array" ref="AO112">IF(LEN(TRIM(B112))=0, "", COUNTA($D$11:$AL$11) - SUM(COUNTIF(D112:AL112, {"x","◢"})))</f>
        <v/>
      </c>
      <c r="AP112" s="147"/>
      <c r="AQ112" s="148"/>
      <c r="AR112" s="148"/>
      <c r="AS112" s="148"/>
      <c r="AT112" s="148"/>
      <c r="AU112" s="149"/>
    </row>
    <row r="113" spans="1:47" ht="21.75" hidden="1" customHeight="1" x14ac:dyDescent="0.25">
      <c r="A113" s="116"/>
      <c r="B113" s="281"/>
      <c r="C113" s="285"/>
      <c r="D113" s="69"/>
      <c r="E113" s="70"/>
      <c r="F113" s="71"/>
      <c r="G113" s="71"/>
      <c r="H113" s="72"/>
      <c r="I113" s="115"/>
      <c r="J113" s="73"/>
      <c r="K113" s="71"/>
      <c r="L113" s="71"/>
      <c r="M113" s="71"/>
      <c r="N113" s="72"/>
      <c r="O113" s="115"/>
      <c r="P113" s="73"/>
      <c r="Q113" s="71"/>
      <c r="R113" s="71"/>
      <c r="S113" s="71"/>
      <c r="T113" s="72"/>
      <c r="U113" s="115"/>
      <c r="V113" s="73"/>
      <c r="W113" s="71"/>
      <c r="X113" s="71"/>
      <c r="Y113" s="71"/>
      <c r="Z113" s="72"/>
      <c r="AA113" s="115"/>
      <c r="AB113" s="73"/>
      <c r="AC113" s="71"/>
      <c r="AD113" s="71"/>
      <c r="AE113" s="71"/>
      <c r="AF113" s="72"/>
      <c r="AG113" s="118"/>
      <c r="AH113" s="73"/>
      <c r="AI113" s="71"/>
      <c r="AJ113" s="71"/>
      <c r="AK113" s="71"/>
      <c r="AL113" s="72"/>
      <c r="AM113" s="110"/>
      <c r="AN113" s="79" t="str">
        <f t="shared" si="5"/>
        <v/>
      </c>
      <c r="AO113" s="80" t="str" cm="1">
        <f t="array" ref="AO113">IF(LEN(TRIM(B113))=0, "", COUNTA($D$11:$AL$11) - SUM(COUNTIF(D113:AL113, {"x","◢"})))</f>
        <v/>
      </c>
      <c r="AP113" s="147"/>
      <c r="AQ113" s="148"/>
      <c r="AR113" s="148"/>
      <c r="AS113" s="148"/>
      <c r="AT113" s="148"/>
      <c r="AU113" s="149"/>
    </row>
    <row r="114" spans="1:47" ht="21.75" hidden="1" customHeight="1" thickBot="1" x14ac:dyDescent="0.3">
      <c r="A114" s="116"/>
      <c r="B114" s="281"/>
      <c r="C114" s="282"/>
      <c r="D114" s="69"/>
      <c r="E114" s="70"/>
      <c r="F114" s="71"/>
      <c r="G114" s="71"/>
      <c r="H114" s="72"/>
      <c r="I114" s="115"/>
      <c r="J114" s="73"/>
      <c r="K114" s="71"/>
      <c r="L114" s="71"/>
      <c r="M114" s="71"/>
      <c r="N114" s="72"/>
      <c r="O114" s="115"/>
      <c r="P114" s="73"/>
      <c r="Q114" s="71"/>
      <c r="R114" s="71"/>
      <c r="S114" s="71"/>
      <c r="T114" s="72"/>
      <c r="U114" s="115"/>
      <c r="V114" s="73"/>
      <c r="W114" s="71"/>
      <c r="X114" s="71"/>
      <c r="Y114" s="71"/>
      <c r="Z114" s="72"/>
      <c r="AA114" s="115"/>
      <c r="AB114" s="73"/>
      <c r="AC114" s="71"/>
      <c r="AD114" s="71"/>
      <c r="AE114" s="71"/>
      <c r="AF114" s="72"/>
      <c r="AG114" s="118"/>
      <c r="AH114" s="73"/>
      <c r="AI114" s="71"/>
      <c r="AJ114" s="71"/>
      <c r="AK114" s="71"/>
      <c r="AL114" s="72"/>
      <c r="AM114" s="110"/>
      <c r="AN114" s="79" t="str">
        <f t="shared" si="5"/>
        <v/>
      </c>
      <c r="AO114" s="80" t="str" cm="1">
        <f t="array" ref="AO114">IF(LEN(TRIM(B114))=0, "", COUNTA($D$11:$AL$11) - SUM(COUNTIF(D114:AL114, {"x","◢"})))</f>
        <v/>
      </c>
      <c r="AP114" s="147"/>
      <c r="AQ114" s="148"/>
      <c r="AR114" s="148"/>
      <c r="AS114" s="148"/>
      <c r="AT114" s="148"/>
      <c r="AU114" s="149"/>
    </row>
    <row r="115" spans="1:47" ht="19.5" customHeight="1" thickTop="1" thickBot="1" x14ac:dyDescent="0.3">
      <c r="A115" s="104"/>
      <c r="B115" s="181" t="s">
        <v>14</v>
      </c>
      <c r="C115" s="182"/>
      <c r="D115" s="86" t="str">
        <f t="shared" ref="D115:AF115" si="6">IF(LEN(TRIM(D$11))=0, "", COUNTIF($B$65:$B$114, "?*") - (COUNTIF(D65:D114, "x") + COUNTIF(D65:D114, "◢")))</f>
        <v/>
      </c>
      <c r="E115" s="93" t="str">
        <f t="shared" si="6"/>
        <v/>
      </c>
      <c r="F115" s="93" t="str">
        <f t="shared" si="6"/>
        <v/>
      </c>
      <c r="G115" s="93" t="str">
        <f t="shared" si="6"/>
        <v/>
      </c>
      <c r="H115" s="94" t="str">
        <f t="shared" si="6"/>
        <v/>
      </c>
      <c r="I115" s="86" t="str">
        <f t="shared" si="6"/>
        <v/>
      </c>
      <c r="J115" s="86" t="str">
        <f t="shared" si="6"/>
        <v/>
      </c>
      <c r="K115" s="93" t="str">
        <f t="shared" si="6"/>
        <v/>
      </c>
      <c r="L115" s="93" t="str">
        <f t="shared" si="6"/>
        <v/>
      </c>
      <c r="M115" s="93" t="str">
        <f t="shared" si="6"/>
        <v/>
      </c>
      <c r="N115" s="94" t="str">
        <f t="shared" si="6"/>
        <v/>
      </c>
      <c r="O115" s="86" t="str">
        <f t="shared" si="6"/>
        <v/>
      </c>
      <c r="P115" s="86" t="str">
        <f t="shared" si="6"/>
        <v/>
      </c>
      <c r="Q115" s="93" t="str">
        <f t="shared" si="6"/>
        <v/>
      </c>
      <c r="R115" s="93" t="str">
        <f t="shared" si="6"/>
        <v/>
      </c>
      <c r="S115" s="93" t="str">
        <f t="shared" si="6"/>
        <v/>
      </c>
      <c r="T115" s="94" t="str">
        <f t="shared" si="6"/>
        <v/>
      </c>
      <c r="U115" s="86" t="str">
        <f t="shared" si="6"/>
        <v/>
      </c>
      <c r="V115" s="86" t="str">
        <f t="shared" si="6"/>
        <v/>
      </c>
      <c r="W115" s="93" t="str">
        <f t="shared" si="6"/>
        <v/>
      </c>
      <c r="X115" s="93" t="str">
        <f t="shared" si="6"/>
        <v/>
      </c>
      <c r="Y115" s="93" t="str">
        <f t="shared" si="6"/>
        <v/>
      </c>
      <c r="Z115" s="94" t="str">
        <f t="shared" si="6"/>
        <v/>
      </c>
      <c r="AA115" s="86" t="str">
        <f t="shared" si="6"/>
        <v/>
      </c>
      <c r="AB115" s="86" t="str">
        <f t="shared" si="6"/>
        <v/>
      </c>
      <c r="AC115" s="93" t="str">
        <f t="shared" si="6"/>
        <v/>
      </c>
      <c r="AD115" s="93" t="str">
        <f t="shared" si="6"/>
        <v/>
      </c>
      <c r="AE115" s="93" t="str">
        <f t="shared" si="6"/>
        <v/>
      </c>
      <c r="AF115" s="94" t="str">
        <f t="shared" si="6"/>
        <v/>
      </c>
      <c r="AG115" s="94"/>
      <c r="AH115" s="86" t="str">
        <f>IF(LEN(TRIM(AH$11))=0, "", COUNTIF($B$65:$B$114, "?*") - COUNTIF(AH65:AH114, "x"))</f>
        <v/>
      </c>
      <c r="AI115" s="93" t="str">
        <f>IF(LEN(TRIM(AI$11))=0, "", COUNTIF($B$65:$B$114, "?*") - COUNTIF(AI65:AI114, "x"))</f>
        <v/>
      </c>
      <c r="AJ115" s="93" t="str">
        <f>IF(LEN(TRIM(AJ$11))=0, "", COUNTIF($B$65:$B$114, "?*") - COUNTIF(AJ65:AJ114, "x"))</f>
        <v/>
      </c>
      <c r="AK115" s="93" t="str">
        <f>IF(LEN(TRIM(AK$11))=0, "", COUNTIF($B$65:$B$114, "?*") - COUNTIF(AK65:AK114, "x"))</f>
        <v/>
      </c>
      <c r="AL115" s="94" t="str">
        <f>IF(LEN(TRIM(AL$11))=0, "", COUNTIF($B$65:$B$114, "?*") - COUNTIF(AL65:AL114, "x"))</f>
        <v/>
      </c>
      <c r="AM115" s="94"/>
      <c r="AN115" s="96"/>
      <c r="AO115" s="105"/>
      <c r="AP115" s="194"/>
      <c r="AQ115" s="195"/>
      <c r="AR115" s="195"/>
      <c r="AS115" s="195"/>
      <c r="AT115" s="195"/>
      <c r="AU115" s="196"/>
    </row>
    <row r="116" spans="1:47" ht="18.75" customHeight="1" thickBot="1" x14ac:dyDescent="0.3">
      <c r="A116" s="197" t="s">
        <v>15</v>
      </c>
      <c r="B116" s="198"/>
      <c r="C116" s="199"/>
      <c r="D116" s="58" t="str">
        <f t="shared" ref="D116:AF116" si="7">IF(D115="","",SUM(D115,D64))</f>
        <v/>
      </c>
      <c r="E116" s="59" t="str">
        <f t="shared" si="7"/>
        <v/>
      </c>
      <c r="F116" s="59" t="str">
        <f t="shared" si="7"/>
        <v/>
      </c>
      <c r="G116" s="59" t="str">
        <f t="shared" si="7"/>
        <v/>
      </c>
      <c r="H116" s="61" t="str">
        <f t="shared" si="7"/>
        <v/>
      </c>
      <c r="I116" s="62" t="str">
        <f t="shared" si="7"/>
        <v/>
      </c>
      <c r="J116" s="58" t="str">
        <f t="shared" si="7"/>
        <v/>
      </c>
      <c r="K116" s="59" t="str">
        <f t="shared" si="7"/>
        <v/>
      </c>
      <c r="L116" s="59" t="str">
        <f t="shared" si="7"/>
        <v/>
      </c>
      <c r="M116" s="59" t="str">
        <f t="shared" si="7"/>
        <v/>
      </c>
      <c r="N116" s="61" t="str">
        <f t="shared" si="7"/>
        <v/>
      </c>
      <c r="O116" s="62" t="str">
        <f t="shared" si="7"/>
        <v/>
      </c>
      <c r="P116" s="58" t="str">
        <f t="shared" si="7"/>
        <v/>
      </c>
      <c r="Q116" s="59" t="str">
        <f t="shared" si="7"/>
        <v/>
      </c>
      <c r="R116" s="59" t="str">
        <f t="shared" si="7"/>
        <v/>
      </c>
      <c r="S116" s="59" t="str">
        <f t="shared" si="7"/>
        <v/>
      </c>
      <c r="T116" s="61" t="str">
        <f t="shared" si="7"/>
        <v/>
      </c>
      <c r="U116" s="62" t="str">
        <f t="shared" si="7"/>
        <v/>
      </c>
      <c r="V116" s="58" t="str">
        <f t="shared" si="7"/>
        <v/>
      </c>
      <c r="W116" s="59" t="str">
        <f t="shared" si="7"/>
        <v/>
      </c>
      <c r="X116" s="59" t="str">
        <f t="shared" si="7"/>
        <v/>
      </c>
      <c r="Y116" s="59" t="str">
        <f t="shared" si="7"/>
        <v/>
      </c>
      <c r="Z116" s="61" t="str">
        <f t="shared" si="7"/>
        <v/>
      </c>
      <c r="AA116" s="62" t="str">
        <f t="shared" si="7"/>
        <v/>
      </c>
      <c r="AB116" s="58" t="str">
        <f t="shared" si="7"/>
        <v/>
      </c>
      <c r="AC116" s="59" t="str">
        <f t="shared" si="7"/>
        <v/>
      </c>
      <c r="AD116" s="59" t="str">
        <f t="shared" si="7"/>
        <v/>
      </c>
      <c r="AE116" s="59" t="str">
        <f t="shared" si="7"/>
        <v/>
      </c>
      <c r="AF116" s="63" t="str">
        <f t="shared" si="7"/>
        <v/>
      </c>
      <c r="AG116" s="60"/>
      <c r="AH116" s="58" t="str">
        <f>IF(AH115="","",SUM(AH115,AH64))</f>
        <v/>
      </c>
      <c r="AI116" s="59" t="str">
        <f>IF(AI115="","",SUM(AI115,AI64))</f>
        <v/>
      </c>
      <c r="AJ116" s="59" t="str">
        <f>IF(AJ115="","",SUM(AJ115,AJ64))</f>
        <v/>
      </c>
      <c r="AK116" s="59" t="str">
        <f>IF(AK115="","",SUM(AK115,AK64))</f>
        <v/>
      </c>
      <c r="AL116" s="63" t="str">
        <f>IF(AL115="","",SUM(AL115,AL64))</f>
        <v/>
      </c>
      <c r="AM116" s="60"/>
      <c r="AN116" s="85"/>
      <c r="AO116" s="85"/>
      <c r="AP116" s="200"/>
      <c r="AQ116" s="201"/>
      <c r="AR116" s="201"/>
      <c r="AS116" s="201"/>
      <c r="AT116" s="201"/>
      <c r="AU116" s="202"/>
    </row>
    <row r="117" spans="1:47" ht="15.75" customHeight="1" thickBot="1" x14ac:dyDescent="0.3">
      <c r="A117" s="203"/>
      <c r="B117" s="203"/>
      <c r="C117" s="11"/>
      <c r="I117" s="49"/>
    </row>
    <row r="118" spans="1:47" ht="16.5" customHeight="1" thickBot="1" x14ac:dyDescent="0.35">
      <c r="A118" s="12" t="s">
        <v>16</v>
      </c>
      <c r="B118" s="13"/>
      <c r="C118" s="13"/>
      <c r="D118" s="14"/>
      <c r="E118" s="14"/>
      <c r="F118" s="14"/>
      <c r="G118" s="31"/>
      <c r="H118" s="31"/>
      <c r="I118" s="31"/>
      <c r="J118" s="14"/>
      <c r="K118" s="14"/>
      <c r="L118" s="14"/>
      <c r="M118" s="31"/>
      <c r="N118" s="31"/>
      <c r="O118" s="31"/>
      <c r="P118" s="14"/>
      <c r="Q118" s="14"/>
      <c r="R118" s="15"/>
      <c r="S118" s="16" t="s">
        <v>17</v>
      </c>
      <c r="T118" s="17"/>
      <c r="U118" s="17"/>
      <c r="V118" s="17"/>
      <c r="W118" s="17"/>
      <c r="X118" s="17"/>
      <c r="Y118" s="18"/>
      <c r="Z118" s="18"/>
      <c r="AA118" s="18"/>
      <c r="AB118" s="18"/>
      <c r="AC118" s="19"/>
      <c r="AD118" s="20"/>
      <c r="AI118" s="5"/>
      <c r="AJ118" s="15"/>
      <c r="AN118" s="119" t="s">
        <v>83</v>
      </c>
      <c r="AO118" s="120"/>
      <c r="AP118" s="212" t="s">
        <v>92</v>
      </c>
      <c r="AQ118" s="213"/>
      <c r="AR118" s="216">
        <f>COUNTA($D$11:$AL$11)</f>
        <v>0</v>
      </c>
      <c r="AS118" s="204" t="s">
        <v>18</v>
      </c>
      <c r="AT118" s="204"/>
      <c r="AU118" s="205"/>
    </row>
    <row r="119" spans="1:47" ht="14.25" customHeight="1" thickBot="1" x14ac:dyDescent="0.3">
      <c r="A119" s="189" t="s">
        <v>19</v>
      </c>
      <c r="B119" s="189"/>
      <c r="C119" s="189"/>
      <c r="D119" s="189"/>
      <c r="E119" s="189"/>
      <c r="F119" s="189"/>
      <c r="G119" s="189"/>
      <c r="H119" s="189"/>
      <c r="I119" s="189"/>
      <c r="J119" s="189"/>
      <c r="K119" s="189"/>
      <c r="L119" s="189"/>
      <c r="M119" s="189"/>
      <c r="N119" s="189"/>
      <c r="O119" s="189"/>
      <c r="P119" s="189"/>
      <c r="Q119" s="14"/>
      <c r="R119" s="15"/>
      <c r="S119" s="98" t="s">
        <v>20</v>
      </c>
      <c r="T119" s="99"/>
      <c r="U119" s="99"/>
      <c r="V119" s="99"/>
      <c r="W119" s="99"/>
      <c r="X119" s="99"/>
      <c r="Y119" s="99"/>
      <c r="Z119" s="99"/>
      <c r="AA119" s="99"/>
      <c r="AB119" s="99"/>
      <c r="AC119" s="99"/>
      <c r="AD119" s="102"/>
      <c r="AE119" s="34"/>
      <c r="AF119" s="34"/>
      <c r="AG119" s="34"/>
      <c r="AH119" s="34"/>
      <c r="AI119" s="34"/>
      <c r="AJ119" s="15"/>
      <c r="AN119" s="43"/>
      <c r="AO119" s="121"/>
      <c r="AP119" s="214"/>
      <c r="AQ119" s="215"/>
      <c r="AR119" s="217"/>
      <c r="AS119" s="23" t="s">
        <v>21</v>
      </c>
      <c r="AT119" s="24" t="s">
        <v>22</v>
      </c>
      <c r="AU119" s="25" t="s">
        <v>23</v>
      </c>
    </row>
    <row r="120" spans="1:47" ht="15.75" customHeight="1" x14ac:dyDescent="0.25">
      <c r="A120" s="189" t="s">
        <v>24</v>
      </c>
      <c r="B120" s="189"/>
      <c r="C120" s="189"/>
      <c r="D120" s="189"/>
      <c r="E120" s="189"/>
      <c r="F120" s="189"/>
      <c r="G120" s="189"/>
      <c r="H120" s="189"/>
      <c r="I120" s="189"/>
      <c r="J120" s="189"/>
      <c r="K120" s="189"/>
      <c r="L120" s="189"/>
      <c r="M120" s="189"/>
      <c r="N120" s="189"/>
      <c r="O120" s="189"/>
      <c r="P120" s="189"/>
      <c r="Q120" s="14"/>
      <c r="R120" s="15"/>
      <c r="S120" s="100"/>
      <c r="T120" s="34"/>
      <c r="U120" s="34"/>
      <c r="V120" s="34"/>
      <c r="W120" s="34"/>
      <c r="X120" s="34"/>
      <c r="Y120" s="34"/>
      <c r="Z120" s="34"/>
      <c r="AA120" s="34"/>
      <c r="AB120" s="34"/>
      <c r="AC120" s="34"/>
      <c r="AD120" s="101"/>
      <c r="AE120" s="34"/>
      <c r="AF120" s="34"/>
      <c r="AG120" s="34"/>
      <c r="AH120" s="34"/>
      <c r="AI120" s="34"/>
      <c r="AJ120" s="15"/>
      <c r="AN120" s="206" t="s">
        <v>25</v>
      </c>
      <c r="AO120" s="207"/>
      <c r="AP120" s="207"/>
      <c r="AQ120" s="207"/>
      <c r="AR120" s="208"/>
      <c r="AS120" s="190" t="str">
        <f>IF(COUNTIF($B$14:$B$63, "?*")=0, "", COUNTIF($B$14:$B$63, "?*"))</f>
        <v/>
      </c>
      <c r="AT120" s="190" t="str">
        <f>IF(COUNTIF($B$65:$C$114, "?*")=0, "", COUNTIF($B$65:$C$114, "?*"))</f>
        <v/>
      </c>
      <c r="AU120" s="192" t="str">
        <f>IF(SUM(AS120, AT120)=0, "", SUM(AS120, AT120))</f>
        <v/>
      </c>
    </row>
    <row r="121" spans="1:47" ht="15.75" customHeight="1" x14ac:dyDescent="0.25">
      <c r="A121" s="189" t="s">
        <v>26</v>
      </c>
      <c r="B121" s="189"/>
      <c r="C121" s="189"/>
      <c r="D121" s="189"/>
      <c r="E121" s="189"/>
      <c r="F121" s="189"/>
      <c r="G121" s="189"/>
      <c r="H121" s="189"/>
      <c r="I121" s="189"/>
      <c r="J121" s="189"/>
      <c r="K121" s="189"/>
      <c r="L121" s="189"/>
      <c r="M121" s="189"/>
      <c r="N121" s="189"/>
      <c r="O121" s="189"/>
      <c r="P121" s="189"/>
      <c r="Q121" s="14"/>
      <c r="R121" s="15"/>
      <c r="S121" s="100"/>
      <c r="T121" s="34"/>
      <c r="U121" s="34"/>
      <c r="V121" s="34"/>
      <c r="W121" s="34"/>
      <c r="X121" s="34"/>
      <c r="Y121" s="34"/>
      <c r="Z121" s="34"/>
      <c r="AA121" s="34"/>
      <c r="AB121" s="34"/>
      <c r="AC121" s="34"/>
      <c r="AD121" s="101"/>
      <c r="AE121" s="34"/>
      <c r="AF121" s="34"/>
      <c r="AG121" s="34"/>
      <c r="AH121" s="34"/>
      <c r="AI121" s="34"/>
      <c r="AJ121" s="15"/>
      <c r="AN121" s="209"/>
      <c r="AO121" s="210"/>
      <c r="AP121" s="210"/>
      <c r="AQ121" s="210"/>
      <c r="AR121" s="211"/>
      <c r="AS121" s="191"/>
      <c r="AT121" s="191"/>
      <c r="AU121" s="193"/>
    </row>
    <row r="122" spans="1:47" ht="14.25" customHeight="1" x14ac:dyDescent="0.25">
      <c r="A122" s="223" t="s">
        <v>27</v>
      </c>
      <c r="B122" s="137" t="s">
        <v>28</v>
      </c>
      <c r="C122" s="26"/>
      <c r="D122" s="227" t="s">
        <v>29</v>
      </c>
      <c r="E122" s="227"/>
      <c r="F122" s="227"/>
      <c r="G122" s="227"/>
      <c r="H122" s="227"/>
      <c r="I122" s="227"/>
      <c r="J122" s="227"/>
      <c r="K122" s="227"/>
      <c r="L122" s="227"/>
      <c r="M122" s="227"/>
      <c r="N122" s="227"/>
      <c r="O122" s="31"/>
      <c r="P122" s="228" t="s">
        <v>30</v>
      </c>
      <c r="Q122" s="228"/>
      <c r="R122" s="15"/>
      <c r="S122" s="27" t="s">
        <v>31</v>
      </c>
      <c r="Y122" s="5"/>
      <c r="AC122" s="103"/>
      <c r="AD122" s="21"/>
      <c r="AI122" s="103"/>
      <c r="AJ122" s="15"/>
      <c r="AN122" s="229" t="s">
        <v>32</v>
      </c>
      <c r="AO122" s="230"/>
      <c r="AP122" s="230"/>
      <c r="AQ122" s="230"/>
      <c r="AR122" s="231"/>
      <c r="AS122" s="218">
        <v>0</v>
      </c>
      <c r="AT122" s="218">
        <v>0</v>
      </c>
      <c r="AU122" s="220">
        <v>0</v>
      </c>
    </row>
    <row r="123" spans="1:47" ht="15" customHeight="1" x14ac:dyDescent="0.25">
      <c r="A123" s="223"/>
      <c r="B123" s="137"/>
      <c r="C123" s="26"/>
      <c r="D123" s="222" t="s">
        <v>33</v>
      </c>
      <c r="E123" s="222"/>
      <c r="F123" s="222"/>
      <c r="G123" s="222"/>
      <c r="H123" s="222"/>
      <c r="I123" s="222"/>
      <c r="J123" s="222"/>
      <c r="K123" s="222"/>
      <c r="L123" s="222"/>
      <c r="M123" s="222"/>
      <c r="N123" s="222"/>
      <c r="O123" s="31"/>
      <c r="P123" s="228"/>
      <c r="Q123" s="228"/>
      <c r="R123" s="15"/>
      <c r="S123" s="27" t="s">
        <v>34</v>
      </c>
      <c r="T123" s="5"/>
      <c r="U123" s="5"/>
      <c r="V123" s="5"/>
      <c r="W123" s="5"/>
      <c r="X123" s="5"/>
      <c r="Y123" s="5"/>
      <c r="AC123" s="103"/>
      <c r="AD123" s="21"/>
      <c r="AI123" s="103"/>
      <c r="AJ123" s="15"/>
      <c r="AN123" s="232"/>
      <c r="AO123" s="233"/>
      <c r="AP123" s="233"/>
      <c r="AQ123" s="233"/>
      <c r="AR123" s="234"/>
      <c r="AS123" s="219"/>
      <c r="AT123" s="219"/>
      <c r="AU123" s="221"/>
    </row>
    <row r="124" spans="1:47" ht="15.75" customHeight="1" x14ac:dyDescent="0.25">
      <c r="A124" s="223" t="s">
        <v>35</v>
      </c>
      <c r="B124" s="224" t="s">
        <v>36</v>
      </c>
      <c r="C124" s="28"/>
      <c r="D124" s="225" t="s">
        <v>37</v>
      </c>
      <c r="E124" s="225"/>
      <c r="F124" s="225"/>
      <c r="G124" s="225"/>
      <c r="H124" s="225"/>
      <c r="I124" s="225"/>
      <c r="J124" s="225"/>
      <c r="K124" s="225"/>
      <c r="L124" s="225"/>
      <c r="M124" s="225"/>
      <c r="N124" s="225"/>
      <c r="O124" s="48"/>
      <c r="P124" s="29"/>
      <c r="Q124" s="14"/>
      <c r="R124" s="15"/>
      <c r="S124" s="30" t="s">
        <v>38</v>
      </c>
      <c r="T124" s="5"/>
      <c r="U124" s="5"/>
      <c r="V124" s="5"/>
      <c r="W124" s="5"/>
      <c r="X124" s="5"/>
      <c r="Y124" s="5"/>
      <c r="AC124" s="103"/>
      <c r="AD124" s="21"/>
      <c r="AI124" s="103"/>
      <c r="AJ124" s="15"/>
      <c r="AN124" s="229" t="s">
        <v>39</v>
      </c>
      <c r="AO124" s="230"/>
      <c r="AP124" s="230"/>
      <c r="AQ124" s="230"/>
      <c r="AR124" s="231"/>
      <c r="AS124" s="226" t="str">
        <f>IF(COUNTIF($B$14:$B$63, "?*")=0, "", COUNTIF($B$14:$B$63, "?*"))</f>
        <v/>
      </c>
      <c r="AT124" s="226" t="str">
        <f>IF(COUNTIF($B$65:$C$114, "?*")=0, "", COUNTIF($B$65:$C$114, "?*"))</f>
        <v/>
      </c>
      <c r="AU124" s="192" t="str">
        <f>IF(SUM(AS124, AT124)=0, "", SUM(AS124, AT124))</f>
        <v/>
      </c>
    </row>
    <row r="125" spans="1:47" ht="14.25" customHeight="1" x14ac:dyDescent="0.25">
      <c r="A125" s="223"/>
      <c r="B125" s="224"/>
      <c r="C125" s="28"/>
      <c r="D125" s="222" t="s">
        <v>40</v>
      </c>
      <c r="E125" s="222"/>
      <c r="F125" s="222"/>
      <c r="G125" s="222"/>
      <c r="H125" s="222"/>
      <c r="I125" s="222"/>
      <c r="J125" s="222"/>
      <c r="K125" s="222"/>
      <c r="L125" s="222"/>
      <c r="M125" s="222"/>
      <c r="N125" s="222"/>
      <c r="O125" s="31"/>
      <c r="P125" s="14"/>
      <c r="Q125" s="14"/>
      <c r="R125" s="15"/>
      <c r="S125" s="30" t="s">
        <v>41</v>
      </c>
      <c r="Y125" s="5"/>
      <c r="AC125" s="103"/>
      <c r="AD125" s="21"/>
      <c r="AI125" s="103"/>
      <c r="AJ125" s="15"/>
      <c r="AN125" s="232"/>
      <c r="AO125" s="233"/>
      <c r="AP125" s="233"/>
      <c r="AQ125" s="233"/>
      <c r="AR125" s="234"/>
      <c r="AS125" s="191"/>
      <c r="AT125" s="191"/>
      <c r="AU125" s="193"/>
    </row>
    <row r="126" spans="1:47" ht="16.5" customHeight="1" x14ac:dyDescent="0.25">
      <c r="A126" s="239" t="s">
        <v>42</v>
      </c>
      <c r="B126" s="240" t="s">
        <v>43</v>
      </c>
      <c r="C126" s="240"/>
      <c r="D126" s="227" t="s">
        <v>44</v>
      </c>
      <c r="E126" s="227"/>
      <c r="F126" s="227"/>
      <c r="G126" s="227"/>
      <c r="H126" s="227"/>
      <c r="I126" s="227"/>
      <c r="J126" s="227"/>
      <c r="K126" s="227"/>
      <c r="L126" s="227"/>
      <c r="M126" s="227"/>
      <c r="N126" s="227"/>
      <c r="O126" s="31"/>
      <c r="P126" s="228" t="s">
        <v>30</v>
      </c>
      <c r="Q126" s="228"/>
      <c r="R126" s="15"/>
      <c r="S126" s="30" t="s">
        <v>45</v>
      </c>
      <c r="AC126" s="103"/>
      <c r="AD126" s="21"/>
      <c r="AI126" s="103"/>
      <c r="AJ126" s="15"/>
      <c r="AN126" s="241" t="s">
        <v>46</v>
      </c>
      <c r="AO126" s="242"/>
      <c r="AP126" s="242"/>
      <c r="AQ126" s="242"/>
      <c r="AR126" s="243"/>
      <c r="AS126" s="235" t="str">
        <f>IF(OR(AS120=0, AS120=""), "", (AS124/AS120)*100)</f>
        <v/>
      </c>
      <c r="AT126" s="235" t="str">
        <f>IF(OR(AT120=0, AT120=""), "", (AT124/AT120)*100)</f>
        <v/>
      </c>
      <c r="AU126" s="237" t="str">
        <f>IF(OR(AU120=0, AU120=""), "", (AU124/AU120)*100)</f>
        <v/>
      </c>
    </row>
    <row r="127" spans="1:47" x14ac:dyDescent="0.25">
      <c r="A127" s="239"/>
      <c r="B127" s="240"/>
      <c r="C127" s="240"/>
      <c r="D127" s="228" t="s">
        <v>47</v>
      </c>
      <c r="E127" s="228"/>
      <c r="F127" s="228"/>
      <c r="G127" s="228"/>
      <c r="H127" s="228"/>
      <c r="I127" s="228"/>
      <c r="J127" s="228"/>
      <c r="K127" s="228"/>
      <c r="L127" s="228"/>
      <c r="M127" s="228"/>
      <c r="N127" s="228"/>
      <c r="O127" s="31"/>
      <c r="P127" s="228"/>
      <c r="Q127" s="228"/>
      <c r="R127" s="15"/>
      <c r="S127" s="30" t="s">
        <v>48</v>
      </c>
      <c r="AC127" s="103"/>
      <c r="AD127" s="21"/>
      <c r="AI127" s="103"/>
      <c r="AJ127" s="15"/>
      <c r="AN127" s="244"/>
      <c r="AO127" s="245"/>
      <c r="AP127" s="245"/>
      <c r="AQ127" s="245"/>
      <c r="AR127" s="246"/>
      <c r="AS127" s="236"/>
      <c r="AT127" s="236"/>
      <c r="AU127" s="238"/>
    </row>
    <row r="128" spans="1:47" ht="12" customHeight="1" x14ac:dyDescent="0.25">
      <c r="A128" s="189"/>
      <c r="B128" s="189"/>
      <c r="C128" s="189"/>
      <c r="D128" s="189"/>
      <c r="E128" s="189"/>
      <c r="F128" s="189"/>
      <c r="G128" s="189"/>
      <c r="H128" s="189"/>
      <c r="I128" s="189"/>
      <c r="J128" s="189"/>
      <c r="K128" s="189"/>
      <c r="L128" s="189"/>
      <c r="M128" s="189"/>
      <c r="N128" s="31"/>
      <c r="O128" s="31"/>
      <c r="P128" s="31"/>
      <c r="Q128" s="14"/>
      <c r="R128" s="15"/>
      <c r="S128" s="27" t="s">
        <v>49</v>
      </c>
      <c r="AC128" s="5"/>
      <c r="AD128" s="21"/>
      <c r="AI128" s="5"/>
      <c r="AJ128" s="15"/>
      <c r="AN128" s="247" t="s">
        <v>50</v>
      </c>
      <c r="AO128" s="248"/>
      <c r="AP128" s="248"/>
      <c r="AQ128" s="248"/>
      <c r="AR128" s="249"/>
      <c r="AS128" s="112" t="str">
        <f>IF(OR(COUNT($D$11:$AL$11)=0,SUM(D64:AL64)=0),"",ROUND(SUM(D64:AL64)/COUNT($D$11:$AL$11),1))</f>
        <v/>
      </c>
      <c r="AT128" s="112" t="str">
        <f>IF(OR(COUNT($D$11:$AL$11)=0,SUM(D115:AL115)=0),"",ROUND(SUM(D115:AL115)/COUNT($D$11:$AL$11),1))</f>
        <v/>
      </c>
      <c r="AU128" s="113" t="str">
        <f>IF(OR(COUNT(D11:AL11)=0,(SUM(D64:AL64)+SUM(D115:AL115))=0),"",ROUND((SUM(D64:AL64)+SUM(D115:AL115))/COUNT(D11:AL11),1))</f>
        <v/>
      </c>
    </row>
    <row r="129" spans="1:47" ht="16.5" customHeight="1" x14ac:dyDescent="0.25">
      <c r="A129" s="250" t="s">
        <v>51</v>
      </c>
      <c r="B129" s="250"/>
      <c r="C129" s="250"/>
      <c r="D129" s="250"/>
      <c r="E129" s="250"/>
      <c r="F129" s="250"/>
      <c r="G129" s="250"/>
      <c r="H129" s="250"/>
      <c r="I129" s="250"/>
      <c r="J129" s="250"/>
      <c r="K129" s="250"/>
      <c r="L129" s="250"/>
      <c r="M129" s="250"/>
      <c r="N129" s="250"/>
      <c r="O129" s="250"/>
      <c r="P129" s="250"/>
      <c r="Q129" s="29"/>
      <c r="R129" s="15"/>
      <c r="S129" s="30" t="s">
        <v>52</v>
      </c>
      <c r="AC129" s="103"/>
      <c r="AD129" s="21"/>
      <c r="AI129" s="103"/>
      <c r="AJ129" s="15"/>
      <c r="AN129" s="229" t="s">
        <v>53</v>
      </c>
      <c r="AO129" s="230"/>
      <c r="AP129" s="230"/>
      <c r="AQ129" s="230"/>
      <c r="AR129" s="231"/>
      <c r="AS129" s="251" t="str">
        <f>IF(OR(LEN(TRIM(AS124))=0,AS124=0,LEN(TRIM(AS128))=0),"",ROUND((AS128/AS124)*100,1))</f>
        <v/>
      </c>
      <c r="AT129" s="251" t="str">
        <f>IF(OR(LEN(TRIM(AT124))=0,AT124=0,LEN(TRIM(AT128))=0),"",ROUND((AT128/AT124)*100,1))</f>
        <v/>
      </c>
      <c r="AU129" s="253" t="str">
        <f>IF(OR(LEN(TRIM(AU124))=0,AU124=0,LEN(TRIM(AU128))=0),"",ROUND((AU128/AU124)*100,1))</f>
        <v/>
      </c>
    </row>
    <row r="130" spans="1:47" x14ac:dyDescent="0.25">
      <c r="A130" s="250"/>
      <c r="B130" s="250"/>
      <c r="C130" s="250"/>
      <c r="D130" s="250"/>
      <c r="E130" s="250"/>
      <c r="F130" s="250"/>
      <c r="G130" s="250"/>
      <c r="H130" s="250"/>
      <c r="I130" s="250"/>
      <c r="J130" s="250"/>
      <c r="K130" s="250"/>
      <c r="L130" s="250"/>
      <c r="M130" s="250"/>
      <c r="N130" s="250"/>
      <c r="O130" s="250"/>
      <c r="P130" s="250"/>
      <c r="Q130" s="29"/>
      <c r="R130" s="15"/>
      <c r="S130" s="30" t="s">
        <v>54</v>
      </c>
      <c r="AC130" s="103"/>
      <c r="AD130" s="21"/>
      <c r="AI130" s="103"/>
      <c r="AJ130" s="15"/>
      <c r="AN130" s="232"/>
      <c r="AO130" s="233"/>
      <c r="AP130" s="233"/>
      <c r="AQ130" s="233"/>
      <c r="AR130" s="234"/>
      <c r="AS130" s="252"/>
      <c r="AT130" s="252"/>
      <c r="AU130" s="254"/>
    </row>
    <row r="131" spans="1:47" ht="14.25" customHeight="1" x14ac:dyDescent="0.25">
      <c r="A131" s="255" t="s">
        <v>55</v>
      </c>
      <c r="B131" s="255"/>
      <c r="C131" s="255"/>
      <c r="D131" s="255"/>
      <c r="E131" s="255"/>
      <c r="F131" s="255"/>
      <c r="G131" s="255"/>
      <c r="H131" s="255"/>
      <c r="I131" s="255"/>
      <c r="J131" s="255"/>
      <c r="K131" s="255"/>
      <c r="L131" s="255"/>
      <c r="M131" s="255"/>
      <c r="N131" s="255"/>
      <c r="O131" s="255"/>
      <c r="P131" s="255"/>
      <c r="Q131" s="255"/>
      <c r="R131" s="15"/>
      <c r="S131" s="30" t="s">
        <v>56</v>
      </c>
      <c r="AC131" s="103"/>
      <c r="AD131" s="21"/>
      <c r="AE131" s="34"/>
      <c r="AI131" s="103"/>
      <c r="AJ131" s="15"/>
      <c r="AK131" s="34"/>
      <c r="AN131" s="229" t="s">
        <v>57</v>
      </c>
      <c r="AO131" s="230"/>
      <c r="AP131" s="230"/>
      <c r="AQ131" s="230"/>
      <c r="AR131" s="231"/>
      <c r="AS131" s="256" t="str">
        <f>IF(COUNTIF($B$14:$B$63, "?*")=0, "", COUNTIF(AN14:AN63, "&gt;=5"))</f>
        <v/>
      </c>
      <c r="AT131" s="256" t="str">
        <f>IF(COUNTIF($B$65:$B$114, "?*")=0, "", COUNTIF(AN65:AN114, "&gt;=5"))</f>
        <v/>
      </c>
      <c r="AU131" s="258" t="str">
        <f>IF(COUNT(AS131:AT132)=0,"",SUM(AS131:AT132))</f>
        <v/>
      </c>
    </row>
    <row r="132" spans="1:47" ht="14.25" customHeight="1" x14ac:dyDescent="0.25">
      <c r="A132" s="255"/>
      <c r="B132" s="255"/>
      <c r="C132" s="255"/>
      <c r="D132" s="255"/>
      <c r="E132" s="255"/>
      <c r="F132" s="255"/>
      <c r="G132" s="255"/>
      <c r="H132" s="255"/>
      <c r="I132" s="255"/>
      <c r="J132" s="255"/>
      <c r="K132" s="255"/>
      <c r="L132" s="255"/>
      <c r="M132" s="255"/>
      <c r="N132" s="255"/>
      <c r="O132" s="255"/>
      <c r="P132" s="255"/>
      <c r="Q132" s="255"/>
      <c r="R132" s="15"/>
      <c r="S132" s="30" t="s">
        <v>58</v>
      </c>
      <c r="AC132" s="5"/>
      <c r="AD132" s="21"/>
      <c r="AI132" s="5"/>
      <c r="AJ132" s="15"/>
      <c r="AN132" s="232"/>
      <c r="AO132" s="233"/>
      <c r="AP132" s="233"/>
      <c r="AQ132" s="233"/>
      <c r="AR132" s="234"/>
      <c r="AS132" s="257"/>
      <c r="AT132" s="257"/>
      <c r="AU132" s="259"/>
    </row>
    <row r="133" spans="1:47" ht="14.25" customHeight="1" x14ac:dyDescent="0.25">
      <c r="A133" s="14" t="s">
        <v>59</v>
      </c>
      <c r="B133" s="32"/>
      <c r="C133" s="32"/>
      <c r="D133" s="33"/>
      <c r="E133" s="33"/>
      <c r="F133" s="33"/>
      <c r="G133" s="33"/>
      <c r="H133" s="33"/>
      <c r="I133" s="33"/>
      <c r="J133" s="33"/>
      <c r="K133" s="33"/>
      <c r="L133" s="33"/>
      <c r="M133" s="33"/>
      <c r="N133" s="33"/>
      <c r="O133" s="33"/>
      <c r="P133" s="33"/>
      <c r="Q133" s="29"/>
      <c r="R133" s="15"/>
      <c r="S133" s="30" t="s">
        <v>60</v>
      </c>
      <c r="AC133" s="103"/>
      <c r="AD133" s="21"/>
      <c r="AI133" s="103"/>
      <c r="AJ133" s="15"/>
      <c r="AN133" s="264" t="s">
        <v>61</v>
      </c>
      <c r="AO133" s="265"/>
      <c r="AP133" s="265"/>
      <c r="AQ133" s="265"/>
      <c r="AR133" s="266"/>
      <c r="AS133" s="260" t="str">
        <f>IF(COUNTIF($B$14:$B$63, "?*")=0, "", COUNTIF($AP$14:$AP$63, "Drop out"))</f>
        <v/>
      </c>
      <c r="AT133" s="260" t="str">
        <f>IF(COUNTIF($B$65:$B$114, "?*")=0, "", COUNTIF($AP$65:$AP$114, "Drop out"))</f>
        <v/>
      </c>
      <c r="AU133" s="262" t="str">
        <f>IF(AND(AS133="", AT133=""), "", SUM(AS133, AT133))</f>
        <v/>
      </c>
    </row>
    <row r="134" spans="1:47" x14ac:dyDescent="0.25">
      <c r="A134" s="35" t="s">
        <v>62</v>
      </c>
      <c r="B134" s="255" t="s">
        <v>84</v>
      </c>
      <c r="C134" s="255"/>
      <c r="D134" s="255"/>
      <c r="E134" s="255"/>
      <c r="F134" s="255"/>
      <c r="G134" s="255"/>
      <c r="H134" s="255"/>
      <c r="I134" s="255"/>
      <c r="J134" s="255"/>
      <c r="K134" s="255"/>
      <c r="L134" s="255"/>
      <c r="M134" s="255"/>
      <c r="N134" s="255"/>
      <c r="O134" s="255"/>
      <c r="P134" s="255"/>
      <c r="Q134" s="14"/>
      <c r="R134" s="15"/>
      <c r="S134" s="30" t="s">
        <v>63</v>
      </c>
      <c r="AC134" s="5"/>
      <c r="AD134" s="21"/>
      <c r="AI134" s="5"/>
      <c r="AJ134" s="15"/>
      <c r="AN134" s="267"/>
      <c r="AO134" s="268"/>
      <c r="AP134" s="268"/>
      <c r="AQ134" s="268"/>
      <c r="AR134" s="269"/>
      <c r="AS134" s="261"/>
      <c r="AT134" s="261"/>
      <c r="AU134" s="263"/>
    </row>
    <row r="135" spans="1:47" x14ac:dyDescent="0.25">
      <c r="C135" s="13"/>
      <c r="D135" s="13"/>
      <c r="E135" s="13"/>
      <c r="F135" s="13"/>
      <c r="G135" s="13"/>
      <c r="H135" s="36"/>
      <c r="I135" s="36"/>
      <c r="J135" s="36"/>
      <c r="K135" s="36"/>
      <c r="L135" s="36"/>
      <c r="R135" s="15"/>
      <c r="S135" s="30" t="s">
        <v>64</v>
      </c>
      <c r="AD135" s="21"/>
      <c r="AJ135" s="15"/>
      <c r="AN135" s="264" t="s">
        <v>65</v>
      </c>
      <c r="AO135" s="265"/>
      <c r="AP135" s="265"/>
      <c r="AQ135" s="265"/>
      <c r="AR135" s="266"/>
      <c r="AS135" s="256" t="str">
        <f>IF(COUNTIF($B$14:$B$63, "?*")=0, "", COUNTIF($AP$14:$AP$63, "Transferred out"))</f>
        <v/>
      </c>
      <c r="AT135" s="256" t="str">
        <f>IF(COUNTIF($B$65:$B$114, "?*")=0, "", COUNTIF($AP$65:$AP$114, "Transferred out"))</f>
        <v/>
      </c>
      <c r="AU135" s="258" t="str">
        <f t="shared" ref="AU135" si="8">IF(AND(AS135="", AT135=""), "", SUM(AS135, AT135))</f>
        <v/>
      </c>
    </row>
    <row r="136" spans="1:47" x14ac:dyDescent="0.25">
      <c r="B136" s="13"/>
      <c r="C136" s="13"/>
      <c r="D136" s="13"/>
      <c r="E136" s="13"/>
      <c r="F136" s="13"/>
      <c r="G136" s="13"/>
      <c r="R136" s="15"/>
      <c r="S136" s="27" t="s">
        <v>66</v>
      </c>
      <c r="Z136" s="103"/>
      <c r="AA136" s="103"/>
      <c r="AB136" s="103"/>
      <c r="AC136" s="103"/>
      <c r="AD136" s="21"/>
      <c r="AF136" s="103"/>
      <c r="AG136" s="103"/>
      <c r="AH136" s="103"/>
      <c r="AI136" s="103"/>
      <c r="AJ136" s="15"/>
      <c r="AN136" s="267"/>
      <c r="AO136" s="268"/>
      <c r="AP136" s="268"/>
      <c r="AQ136" s="268"/>
      <c r="AR136" s="269"/>
      <c r="AS136" s="257"/>
      <c r="AT136" s="257"/>
      <c r="AU136" s="259"/>
    </row>
    <row r="137" spans="1:47" x14ac:dyDescent="0.25">
      <c r="B137" s="274"/>
      <c r="C137" s="274"/>
      <c r="D137" s="274"/>
      <c r="E137" s="274"/>
      <c r="F137" s="274"/>
      <c r="G137" s="274"/>
      <c r="R137" s="15"/>
      <c r="S137" s="30" t="s">
        <v>67</v>
      </c>
      <c r="AD137" s="21"/>
      <c r="AE137" s="37"/>
      <c r="AJ137" s="15"/>
      <c r="AK137" s="37"/>
      <c r="AN137" s="264" t="s">
        <v>68</v>
      </c>
      <c r="AO137" s="265"/>
      <c r="AP137" s="265"/>
      <c r="AQ137" s="265"/>
      <c r="AR137" s="266"/>
      <c r="AS137" s="256" t="str">
        <f>IF(COUNTIF($B$14:$B$63, "?*")=0, "", COUNTIF($AP$14:$AP$63, "Transferred in"))</f>
        <v/>
      </c>
      <c r="AT137" s="256" t="str">
        <f>IF(COUNTIF($B$65:$B$114, "?*")=0, "", COUNTIF($AP$65:$AP$114, "Transferred in"))</f>
        <v/>
      </c>
      <c r="AU137" s="276" t="str">
        <f t="shared" ref="AU137" si="9">IF(AND(AS137="", AT137=""), "", SUM(AS137, AT137))</f>
        <v/>
      </c>
    </row>
    <row r="138" spans="1:47" ht="17.25" thickBot="1" x14ac:dyDescent="0.3">
      <c r="B138" s="274"/>
      <c r="C138" s="274"/>
      <c r="D138" s="274"/>
      <c r="E138" s="274"/>
      <c r="F138" s="274"/>
      <c r="G138" s="274"/>
      <c r="R138" s="15"/>
      <c r="S138" s="30" t="s">
        <v>69</v>
      </c>
      <c r="AD138" s="21"/>
      <c r="AJ138" s="15"/>
      <c r="AN138" s="278"/>
      <c r="AO138" s="279"/>
      <c r="AP138" s="279"/>
      <c r="AQ138" s="279"/>
      <c r="AR138" s="280"/>
      <c r="AS138" s="275"/>
      <c r="AT138" s="275"/>
      <c r="AU138" s="277"/>
    </row>
    <row r="139" spans="1:47" x14ac:dyDescent="0.25">
      <c r="B139" s="5"/>
      <c r="C139" s="5"/>
      <c r="R139" s="15"/>
      <c r="S139" s="30" t="s">
        <v>70</v>
      </c>
      <c r="AD139" s="21"/>
      <c r="AJ139" s="15"/>
    </row>
    <row r="140" spans="1:47" x14ac:dyDescent="0.25">
      <c r="B140" s="5"/>
      <c r="C140" s="5"/>
      <c r="D140" s="5"/>
      <c r="E140" s="5"/>
      <c r="F140" s="5"/>
      <c r="G140" s="5"/>
      <c r="R140" s="15"/>
      <c r="S140" s="27" t="s">
        <v>71</v>
      </c>
      <c r="AD140" s="21"/>
      <c r="AF140" s="38" t="s">
        <v>72</v>
      </c>
      <c r="AG140" s="38"/>
      <c r="AJ140" s="15"/>
      <c r="AL140" s="38" t="s">
        <v>72</v>
      </c>
      <c r="AM140" s="38"/>
      <c r="AU140" s="39"/>
    </row>
    <row r="141" spans="1:47" x14ac:dyDescent="0.25">
      <c r="B141" s="40"/>
      <c r="C141" s="40"/>
      <c r="D141" s="5"/>
      <c r="E141" s="5"/>
      <c r="F141" s="5"/>
      <c r="G141" s="5"/>
      <c r="R141" s="15"/>
      <c r="S141" s="30" t="s">
        <v>73</v>
      </c>
      <c r="AD141" s="21"/>
      <c r="AJ141" s="15"/>
      <c r="AO141" s="271"/>
      <c r="AP141" s="271"/>
      <c r="AQ141" s="271"/>
      <c r="AR141" s="271"/>
      <c r="AS141" s="271"/>
      <c r="AT141" s="271"/>
      <c r="AU141" s="36"/>
    </row>
    <row r="142" spans="1:47" ht="16.5" customHeight="1" x14ac:dyDescent="0.25">
      <c r="B142" s="40"/>
      <c r="C142" s="40"/>
      <c r="R142" s="15"/>
      <c r="S142" s="100" t="s">
        <v>74</v>
      </c>
      <c r="T142" s="34"/>
      <c r="U142" s="34"/>
      <c r="V142" s="34"/>
      <c r="W142" s="34"/>
      <c r="X142" s="34"/>
      <c r="Y142" s="34"/>
      <c r="Z142" s="34"/>
      <c r="AA142" s="34"/>
      <c r="AB142" s="34"/>
      <c r="AC142" s="34"/>
      <c r="AD142" s="101"/>
      <c r="AE142" s="34"/>
      <c r="AF142" s="34"/>
      <c r="AG142" s="34"/>
      <c r="AH142" s="34"/>
      <c r="AI142" s="34"/>
      <c r="AJ142" s="34"/>
      <c r="AO142" s="272"/>
      <c r="AP142" s="272"/>
      <c r="AQ142" s="272"/>
      <c r="AR142" s="272"/>
      <c r="AS142" s="272"/>
      <c r="AT142" s="272"/>
    </row>
    <row r="143" spans="1:47" x14ac:dyDescent="0.25">
      <c r="B143" s="40"/>
      <c r="C143" s="40"/>
      <c r="R143" s="15"/>
      <c r="S143" s="100"/>
      <c r="T143" s="34"/>
      <c r="U143" s="34"/>
      <c r="V143" s="34"/>
      <c r="W143" s="34"/>
      <c r="X143" s="34"/>
      <c r="Y143" s="34"/>
      <c r="Z143" s="34"/>
      <c r="AA143" s="34"/>
      <c r="AB143" s="34"/>
      <c r="AC143" s="34"/>
      <c r="AD143" s="101"/>
      <c r="AE143" s="34"/>
      <c r="AF143" s="34"/>
      <c r="AG143" s="34"/>
      <c r="AH143" s="34"/>
      <c r="AI143" s="34"/>
      <c r="AJ143" s="34"/>
      <c r="AN143" s="41" t="s">
        <v>85</v>
      </c>
      <c r="AO143" s="270" t="s">
        <v>75</v>
      </c>
      <c r="AP143" s="270"/>
      <c r="AQ143" s="270"/>
      <c r="AR143" s="270"/>
      <c r="AS143" s="270"/>
      <c r="AT143" s="270"/>
    </row>
    <row r="144" spans="1:47" x14ac:dyDescent="0.25">
      <c r="B144" s="40"/>
      <c r="C144" s="40"/>
      <c r="S144" s="30" t="s">
        <v>76</v>
      </c>
      <c r="AD144" s="42"/>
    </row>
    <row r="145" spans="1:47" x14ac:dyDescent="0.25">
      <c r="B145" s="5"/>
      <c r="C145" s="5"/>
      <c r="S145" s="27" t="s">
        <v>77</v>
      </c>
      <c r="AD145" s="42"/>
      <c r="AF145" s="8" t="s">
        <v>78</v>
      </c>
      <c r="AL145" s="8" t="s">
        <v>78</v>
      </c>
      <c r="AO145" s="271"/>
      <c r="AP145" s="271"/>
      <c r="AQ145" s="271"/>
      <c r="AR145" s="271"/>
      <c r="AS145" s="271"/>
      <c r="AT145" s="271"/>
    </row>
    <row r="146" spans="1:47" x14ac:dyDescent="0.25">
      <c r="A146" s="273" t="s">
        <v>79</v>
      </c>
      <c r="B146" s="273"/>
      <c r="C146" s="40"/>
      <c r="S146" s="30" t="s">
        <v>80</v>
      </c>
      <c r="AD146" s="42"/>
      <c r="AO146" s="272"/>
      <c r="AP146" s="272"/>
      <c r="AQ146" s="272"/>
      <c r="AR146" s="272"/>
      <c r="AS146" s="272"/>
      <c r="AT146" s="272"/>
    </row>
    <row r="147" spans="1:47" ht="17.25" thickBot="1" x14ac:dyDescent="0.3">
      <c r="A147" s="273"/>
      <c r="B147" s="273"/>
      <c r="C147" s="40"/>
      <c r="S147" s="43" t="s">
        <v>81</v>
      </c>
      <c r="T147" s="3"/>
      <c r="U147" s="3"/>
      <c r="V147" s="3"/>
      <c r="W147" s="3"/>
      <c r="X147" s="3"/>
      <c r="Y147" s="3"/>
      <c r="Z147" s="3"/>
      <c r="AA147" s="3"/>
      <c r="AB147" s="3"/>
      <c r="AC147" s="3"/>
      <c r="AD147" s="22"/>
      <c r="AO147" s="270" t="s">
        <v>82</v>
      </c>
      <c r="AP147" s="270"/>
      <c r="AQ147" s="270"/>
      <c r="AR147" s="270"/>
      <c r="AS147" s="270"/>
      <c r="AT147" s="270"/>
      <c r="AU147" s="39"/>
    </row>
    <row r="149" spans="1:47" x14ac:dyDescent="0.25">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c r="AB149" s="50"/>
      <c r="AC149" s="50"/>
      <c r="AD149" s="50"/>
      <c r="AE149" s="50"/>
      <c r="AF149" s="50"/>
      <c r="AG149" s="50"/>
      <c r="AH149" s="50"/>
      <c r="AI149" s="50"/>
      <c r="AJ149" s="50"/>
      <c r="AK149" s="50"/>
      <c r="AL149" s="50"/>
      <c r="AM149" s="50"/>
      <c r="AN149" s="50"/>
      <c r="AO149" s="50"/>
      <c r="AP149" s="50"/>
      <c r="AQ149" s="50"/>
      <c r="AR149" s="50"/>
      <c r="AS149" s="50"/>
      <c r="AT149" s="50"/>
      <c r="AU149" s="50"/>
    </row>
    <row r="150" spans="1:47" x14ac:dyDescent="0.25">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c r="AB150" s="50"/>
      <c r="AC150" s="50"/>
      <c r="AD150" s="50"/>
      <c r="AE150" s="50"/>
      <c r="AF150" s="50"/>
      <c r="AG150" s="50"/>
      <c r="AH150" s="50"/>
      <c r="AI150" s="50"/>
      <c r="AJ150" s="50"/>
      <c r="AK150" s="50"/>
      <c r="AL150" s="50"/>
      <c r="AM150" s="50"/>
      <c r="AN150" s="50"/>
      <c r="AO150" s="50"/>
      <c r="AP150" s="50"/>
      <c r="AQ150" s="50"/>
      <c r="AR150" s="50"/>
      <c r="AS150" s="50"/>
      <c r="AT150" s="50"/>
      <c r="AU150" s="50"/>
    </row>
    <row r="151" spans="1:47" x14ac:dyDescent="0.25">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c r="AB151" s="50"/>
      <c r="AC151" s="50"/>
      <c r="AD151" s="50"/>
      <c r="AE151" s="50"/>
      <c r="AF151" s="50"/>
      <c r="AG151" s="50"/>
      <c r="AH151" s="50"/>
      <c r="AI151" s="50"/>
      <c r="AJ151" s="50"/>
      <c r="AK151" s="50"/>
      <c r="AL151" s="50"/>
      <c r="AM151" s="50"/>
      <c r="AN151" s="50"/>
      <c r="AO151" s="50"/>
      <c r="AP151" s="50"/>
      <c r="AQ151" s="50"/>
      <c r="AR151" s="50"/>
      <c r="AS151" s="50"/>
      <c r="AT151" s="50"/>
      <c r="AU151" s="50"/>
    </row>
    <row r="152" spans="1:47" x14ac:dyDescent="0.25">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c r="AB152" s="50"/>
      <c r="AC152" s="50"/>
      <c r="AD152" s="50"/>
      <c r="AE152" s="50"/>
      <c r="AF152" s="50"/>
      <c r="AG152" s="50"/>
      <c r="AH152" s="50"/>
      <c r="AI152" s="50"/>
      <c r="AJ152" s="50"/>
      <c r="AK152" s="50"/>
      <c r="AL152" s="50"/>
      <c r="AM152" s="50"/>
      <c r="AN152" s="50"/>
      <c r="AO152" s="50"/>
      <c r="AP152" s="50"/>
      <c r="AQ152" s="50"/>
      <c r="AR152" s="50"/>
      <c r="AS152" s="50"/>
      <c r="AT152" s="50"/>
      <c r="AU152" s="50"/>
    </row>
    <row r="153" spans="1:47" x14ac:dyDescent="0.25">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c r="AC153" s="50"/>
      <c r="AD153" s="50"/>
      <c r="AE153" s="50"/>
      <c r="AF153" s="50"/>
      <c r="AG153" s="50"/>
      <c r="AH153" s="50"/>
      <c r="AI153" s="50"/>
      <c r="AJ153" s="50"/>
      <c r="AK153" s="50"/>
      <c r="AL153" s="50"/>
      <c r="AM153" s="50"/>
      <c r="AN153" s="50"/>
      <c r="AO153" s="50"/>
      <c r="AP153" s="50"/>
      <c r="AQ153" s="50"/>
      <c r="AR153" s="50"/>
      <c r="AS153" s="50"/>
      <c r="AT153" s="50"/>
      <c r="AU153" s="50"/>
    </row>
    <row r="154" spans="1:47" x14ac:dyDescent="0.25">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c r="AB154" s="50"/>
      <c r="AC154" s="50"/>
      <c r="AD154" s="50"/>
      <c r="AE154" s="50"/>
      <c r="AF154" s="50"/>
      <c r="AG154" s="50"/>
      <c r="AH154" s="50"/>
      <c r="AI154" s="50"/>
      <c r="AJ154" s="50"/>
      <c r="AK154" s="50"/>
      <c r="AL154" s="50"/>
      <c r="AM154" s="50"/>
      <c r="AN154" s="50"/>
      <c r="AO154" s="50"/>
      <c r="AP154" s="50"/>
      <c r="AQ154" s="50"/>
      <c r="AR154" s="50"/>
      <c r="AS154" s="50"/>
      <c r="AT154" s="50"/>
      <c r="AU154" s="50"/>
    </row>
    <row r="155" spans="1:47" x14ac:dyDescent="0.2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50"/>
      <c r="AN155" s="50"/>
      <c r="AO155" s="50"/>
      <c r="AP155" s="50"/>
      <c r="AQ155" s="50"/>
      <c r="AR155" s="50"/>
      <c r="AS155" s="50"/>
      <c r="AT155" s="50"/>
      <c r="AU155" s="50"/>
    </row>
    <row r="156" spans="1:47" x14ac:dyDescent="0.25">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c r="AC156" s="50"/>
      <c r="AD156" s="50"/>
      <c r="AE156" s="50"/>
      <c r="AF156" s="50"/>
      <c r="AG156" s="50"/>
      <c r="AH156" s="50"/>
      <c r="AI156" s="50"/>
      <c r="AJ156" s="50"/>
      <c r="AK156" s="50"/>
      <c r="AL156" s="50"/>
      <c r="AM156" s="50"/>
      <c r="AN156" s="50"/>
      <c r="AO156" s="50"/>
      <c r="AP156" s="50"/>
      <c r="AQ156" s="50"/>
      <c r="AR156" s="50"/>
      <c r="AS156" s="50"/>
      <c r="AT156" s="50"/>
      <c r="AU156" s="50"/>
    </row>
    <row r="157" spans="1:47" x14ac:dyDescent="0.25">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c r="AB157" s="50"/>
      <c r="AC157" s="50"/>
      <c r="AD157" s="50"/>
      <c r="AE157" s="50"/>
      <c r="AF157" s="50"/>
      <c r="AG157" s="50"/>
      <c r="AH157" s="50"/>
      <c r="AI157" s="50"/>
      <c r="AJ157" s="50"/>
      <c r="AK157" s="50"/>
      <c r="AL157" s="50"/>
      <c r="AM157" s="50"/>
      <c r="AN157" s="50"/>
      <c r="AO157" s="50"/>
      <c r="AP157" s="50"/>
      <c r="AQ157" s="50"/>
      <c r="AR157" s="50"/>
      <c r="AS157" s="50"/>
      <c r="AT157" s="50"/>
      <c r="AU157" s="50"/>
    </row>
    <row r="158" spans="1:47" x14ac:dyDescent="0.25">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c r="AC158" s="50"/>
      <c r="AD158" s="50"/>
      <c r="AE158" s="50"/>
      <c r="AF158" s="50"/>
      <c r="AG158" s="50"/>
      <c r="AH158" s="50"/>
      <c r="AI158" s="50"/>
      <c r="AJ158" s="50"/>
      <c r="AK158" s="50"/>
      <c r="AL158" s="50"/>
      <c r="AM158" s="50"/>
      <c r="AN158" s="50"/>
      <c r="AO158" s="50"/>
      <c r="AP158" s="50"/>
      <c r="AQ158" s="50"/>
      <c r="AR158" s="50"/>
      <c r="AS158" s="50"/>
      <c r="AT158" s="50"/>
      <c r="AU158" s="50"/>
    </row>
    <row r="159" spans="1:47" x14ac:dyDescent="0.25">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c r="AC159" s="50"/>
      <c r="AD159" s="50"/>
      <c r="AE159" s="50"/>
      <c r="AF159" s="50"/>
      <c r="AG159" s="50"/>
      <c r="AH159" s="50"/>
      <c r="AI159" s="50"/>
      <c r="AJ159" s="50"/>
      <c r="AK159" s="50"/>
      <c r="AL159" s="50"/>
      <c r="AM159" s="50"/>
      <c r="AN159" s="50"/>
      <c r="AO159" s="50"/>
      <c r="AP159" s="50"/>
      <c r="AQ159" s="50"/>
      <c r="AR159" s="50"/>
      <c r="AS159" s="50"/>
      <c r="AT159" s="50"/>
      <c r="AU159" s="50"/>
    </row>
    <row r="160" spans="1:47" x14ac:dyDescent="0.25">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c r="AB160" s="50"/>
      <c r="AC160" s="50"/>
      <c r="AD160" s="50"/>
      <c r="AE160" s="50"/>
      <c r="AF160" s="50"/>
      <c r="AG160" s="50"/>
      <c r="AH160" s="50"/>
      <c r="AI160" s="50"/>
      <c r="AJ160" s="50"/>
      <c r="AK160" s="50"/>
      <c r="AL160" s="50"/>
      <c r="AM160" s="50"/>
      <c r="AN160" s="50"/>
      <c r="AO160" s="50"/>
      <c r="AP160" s="50"/>
      <c r="AQ160" s="50"/>
      <c r="AR160" s="50"/>
      <c r="AS160" s="50"/>
      <c r="AT160" s="50"/>
      <c r="AU160" s="50"/>
    </row>
    <row r="161" spans="1:47" x14ac:dyDescent="0.25">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c r="AG161" s="50"/>
      <c r="AH161" s="50"/>
      <c r="AI161" s="50"/>
      <c r="AJ161" s="50"/>
      <c r="AK161" s="50"/>
      <c r="AL161" s="50"/>
      <c r="AM161" s="50"/>
      <c r="AN161" s="50"/>
      <c r="AO161" s="50"/>
      <c r="AP161" s="50"/>
      <c r="AQ161" s="50"/>
      <c r="AR161" s="50"/>
      <c r="AS161" s="50"/>
      <c r="AT161" s="50"/>
      <c r="AU161" s="50"/>
    </row>
    <row r="162" spans="1:47" x14ac:dyDescent="0.25">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c r="AD162" s="50"/>
      <c r="AE162" s="50"/>
      <c r="AF162" s="50"/>
      <c r="AG162" s="50"/>
      <c r="AH162" s="50"/>
      <c r="AI162" s="50"/>
      <c r="AJ162" s="50"/>
      <c r="AK162" s="50"/>
      <c r="AL162" s="50"/>
      <c r="AM162" s="50"/>
      <c r="AN162" s="50"/>
      <c r="AO162" s="50"/>
      <c r="AP162" s="50"/>
      <c r="AQ162" s="50"/>
      <c r="AR162" s="50"/>
      <c r="AS162" s="50"/>
      <c r="AT162" s="50"/>
      <c r="AU162" s="50"/>
    </row>
    <row r="163" spans="1:47" x14ac:dyDescent="0.25">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c r="AC163" s="50"/>
      <c r="AD163" s="50"/>
      <c r="AE163" s="50"/>
      <c r="AF163" s="50"/>
      <c r="AG163" s="50"/>
      <c r="AH163" s="50"/>
      <c r="AI163" s="50"/>
      <c r="AJ163" s="50"/>
      <c r="AK163" s="50"/>
      <c r="AL163" s="50"/>
      <c r="AM163" s="50"/>
      <c r="AN163" s="50"/>
      <c r="AO163" s="50"/>
      <c r="AP163" s="50"/>
      <c r="AQ163" s="50"/>
      <c r="AR163" s="50"/>
      <c r="AS163" s="50"/>
      <c r="AT163" s="50"/>
      <c r="AU163" s="50"/>
    </row>
    <row r="164" spans="1:47" x14ac:dyDescent="0.25">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c r="AC164" s="50"/>
      <c r="AD164" s="50"/>
      <c r="AE164" s="50"/>
      <c r="AF164" s="50"/>
      <c r="AG164" s="50"/>
      <c r="AH164" s="50"/>
      <c r="AI164" s="50"/>
      <c r="AJ164" s="50"/>
      <c r="AK164" s="50"/>
      <c r="AL164" s="50"/>
      <c r="AM164" s="50"/>
      <c r="AN164" s="50"/>
      <c r="AO164" s="50"/>
      <c r="AP164" s="50"/>
      <c r="AQ164" s="50"/>
      <c r="AR164" s="50"/>
      <c r="AS164" s="50"/>
      <c r="AT164" s="50"/>
      <c r="AU164" s="50"/>
    </row>
    <row r="165" spans="1:47" x14ac:dyDescent="0.2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c r="AB165" s="50"/>
      <c r="AC165" s="50"/>
      <c r="AD165" s="50"/>
      <c r="AE165" s="50"/>
      <c r="AF165" s="50"/>
      <c r="AG165" s="50"/>
      <c r="AH165" s="50"/>
      <c r="AI165" s="50"/>
      <c r="AJ165" s="50"/>
      <c r="AK165" s="50"/>
      <c r="AL165" s="50"/>
      <c r="AM165" s="50"/>
      <c r="AN165" s="50"/>
      <c r="AO165" s="50"/>
      <c r="AP165" s="50"/>
      <c r="AQ165" s="50"/>
      <c r="AR165" s="50"/>
      <c r="AS165" s="50"/>
      <c r="AT165" s="50"/>
      <c r="AU165" s="50"/>
    </row>
    <row r="166" spans="1:47" x14ac:dyDescent="0.25">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c r="AB166" s="50"/>
      <c r="AC166" s="50"/>
      <c r="AD166" s="50"/>
      <c r="AE166" s="50"/>
      <c r="AF166" s="50"/>
      <c r="AG166" s="50"/>
      <c r="AH166" s="50"/>
      <c r="AI166" s="50"/>
      <c r="AJ166" s="50"/>
      <c r="AK166" s="50"/>
      <c r="AL166" s="50"/>
      <c r="AM166" s="50"/>
      <c r="AN166" s="50"/>
      <c r="AO166" s="50"/>
      <c r="AP166" s="50"/>
      <c r="AQ166" s="50"/>
      <c r="AR166" s="50"/>
      <c r="AS166" s="50"/>
      <c r="AT166" s="50"/>
      <c r="AU166" s="50"/>
    </row>
    <row r="167" spans="1:47" x14ac:dyDescent="0.25">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c r="AB167" s="50"/>
      <c r="AC167" s="50"/>
      <c r="AD167" s="50"/>
      <c r="AE167" s="50"/>
      <c r="AF167" s="50"/>
      <c r="AG167" s="50"/>
      <c r="AH167" s="50"/>
      <c r="AI167" s="50"/>
      <c r="AJ167" s="50"/>
      <c r="AK167" s="50"/>
      <c r="AL167" s="50"/>
      <c r="AM167" s="50"/>
      <c r="AN167" s="50"/>
      <c r="AO167" s="50"/>
      <c r="AP167" s="50"/>
      <c r="AQ167" s="50"/>
      <c r="AR167" s="50"/>
      <c r="AS167" s="50"/>
      <c r="AT167" s="50"/>
      <c r="AU167" s="50"/>
    </row>
  </sheetData>
  <sheetProtection algorithmName="SHA-512" hashValue="RvD3Urbaxp7qPvGJZZAABBfXFJEa2P/anH2iYpV/xOK2xHWBh8wGXxnBxGU9M+IGfrq1jiqON66e6mNCG02PfA==" saltValue="vh16KHEWpyanqWU7BFtYww==" spinCount="100000" sheet="1" selectLockedCells="1"/>
  <mergeCells count="181">
    <mergeCell ref="AO143:AT143"/>
    <mergeCell ref="AO145:AT146"/>
    <mergeCell ref="A146:B147"/>
    <mergeCell ref="AO147:AT147"/>
    <mergeCell ref="B137:G138"/>
    <mergeCell ref="AS137:AS138"/>
    <mergeCell ref="AT137:AT138"/>
    <mergeCell ref="AU137:AU138"/>
    <mergeCell ref="AO141:AT142"/>
    <mergeCell ref="AN137:AR138"/>
    <mergeCell ref="AS133:AS134"/>
    <mergeCell ref="AT133:AT134"/>
    <mergeCell ref="AU133:AU134"/>
    <mergeCell ref="B134:P134"/>
    <mergeCell ref="AS135:AS136"/>
    <mergeCell ref="AT135:AT136"/>
    <mergeCell ref="AU135:AU136"/>
    <mergeCell ref="AN133:AR134"/>
    <mergeCell ref="AN135:AR136"/>
    <mergeCell ref="A129:P130"/>
    <mergeCell ref="AS129:AS130"/>
    <mergeCell ref="AT129:AT130"/>
    <mergeCell ref="AU129:AU130"/>
    <mergeCell ref="A131:Q132"/>
    <mergeCell ref="AS131:AS132"/>
    <mergeCell ref="AT131:AT132"/>
    <mergeCell ref="AU131:AU132"/>
    <mergeCell ref="AN129:AR130"/>
    <mergeCell ref="AN131:AR132"/>
    <mergeCell ref="AS126:AS127"/>
    <mergeCell ref="AT126:AT127"/>
    <mergeCell ref="AU126:AU127"/>
    <mergeCell ref="D127:N127"/>
    <mergeCell ref="A128:M128"/>
    <mergeCell ref="D125:N125"/>
    <mergeCell ref="A126:A127"/>
    <mergeCell ref="B126:C127"/>
    <mergeCell ref="D126:N126"/>
    <mergeCell ref="P126:Q127"/>
    <mergeCell ref="AN124:AR125"/>
    <mergeCell ref="AN126:AR127"/>
    <mergeCell ref="AN128:AR128"/>
    <mergeCell ref="AT122:AT123"/>
    <mergeCell ref="AU122:AU123"/>
    <mergeCell ref="D123:N123"/>
    <mergeCell ref="A124:A125"/>
    <mergeCell ref="B124:B125"/>
    <mergeCell ref="D124:N124"/>
    <mergeCell ref="AS124:AS125"/>
    <mergeCell ref="AT124:AT125"/>
    <mergeCell ref="AU124:AU125"/>
    <mergeCell ref="A122:A123"/>
    <mergeCell ref="B122:B123"/>
    <mergeCell ref="D122:N122"/>
    <mergeCell ref="P122:Q123"/>
    <mergeCell ref="AS122:AS123"/>
    <mergeCell ref="AN122:AR123"/>
    <mergeCell ref="A120:P120"/>
    <mergeCell ref="AS120:AS121"/>
    <mergeCell ref="AT120:AT121"/>
    <mergeCell ref="AU120:AU121"/>
    <mergeCell ref="A121:P121"/>
    <mergeCell ref="B115:C115"/>
    <mergeCell ref="AP115:AU115"/>
    <mergeCell ref="A116:C116"/>
    <mergeCell ref="AP116:AU116"/>
    <mergeCell ref="A117:B117"/>
    <mergeCell ref="AS118:AU118"/>
    <mergeCell ref="A119:P119"/>
    <mergeCell ref="AN120:AR121"/>
    <mergeCell ref="AP118:AQ119"/>
    <mergeCell ref="AR118:AR119"/>
    <mergeCell ref="AP113:AU113"/>
    <mergeCell ref="AP114:AU114"/>
    <mergeCell ref="AP107:AU107"/>
    <mergeCell ref="AP108:AU108"/>
    <mergeCell ref="AP109:AU109"/>
    <mergeCell ref="AP110:AU110"/>
    <mergeCell ref="AP111:AU111"/>
    <mergeCell ref="AP112:AU112"/>
    <mergeCell ref="AP101:AU101"/>
    <mergeCell ref="AP102:AU102"/>
    <mergeCell ref="AP103:AU103"/>
    <mergeCell ref="AP104:AU104"/>
    <mergeCell ref="AP105:AU105"/>
    <mergeCell ref="AP106:AU106"/>
    <mergeCell ref="AP95:AU95"/>
    <mergeCell ref="AP96:AU96"/>
    <mergeCell ref="AP97:AU97"/>
    <mergeCell ref="AP98:AU98"/>
    <mergeCell ref="AP99:AU99"/>
    <mergeCell ref="AP100:AU100"/>
    <mergeCell ref="AP89:AU89"/>
    <mergeCell ref="AP90:AU90"/>
    <mergeCell ref="AP91:AU91"/>
    <mergeCell ref="AP92:AU92"/>
    <mergeCell ref="AP93:AU93"/>
    <mergeCell ref="AP94:AU94"/>
    <mergeCell ref="AP83:AU83"/>
    <mergeCell ref="AP84:AU84"/>
    <mergeCell ref="AP85:AU85"/>
    <mergeCell ref="AP86:AU86"/>
    <mergeCell ref="AP87:AU87"/>
    <mergeCell ref="AP88:AU88"/>
    <mergeCell ref="AP77:AU77"/>
    <mergeCell ref="AP78:AU78"/>
    <mergeCell ref="AP79:AU79"/>
    <mergeCell ref="AP80:AU80"/>
    <mergeCell ref="AP81:AU81"/>
    <mergeCell ref="AP82:AU82"/>
    <mergeCell ref="AP71:AU71"/>
    <mergeCell ref="AP72:AU72"/>
    <mergeCell ref="AP73:AU73"/>
    <mergeCell ref="AP74:AU74"/>
    <mergeCell ref="AP75:AU75"/>
    <mergeCell ref="AP76:AU76"/>
    <mergeCell ref="AP65:AU65"/>
    <mergeCell ref="AP66:AU66"/>
    <mergeCell ref="AP67:AU67"/>
    <mergeCell ref="AP68:AU68"/>
    <mergeCell ref="AP69:AU69"/>
    <mergeCell ref="AP70:AU70"/>
    <mergeCell ref="AP59:AU59"/>
    <mergeCell ref="AP60:AU60"/>
    <mergeCell ref="AP61:AU61"/>
    <mergeCell ref="AP62:AU62"/>
    <mergeCell ref="AP63:AU63"/>
    <mergeCell ref="B64:C64"/>
    <mergeCell ref="AP64:AU64"/>
    <mergeCell ref="AP43:AU43"/>
    <mergeCell ref="AP54:AU54"/>
    <mergeCell ref="AP55:AU55"/>
    <mergeCell ref="AP56:AU56"/>
    <mergeCell ref="AP57:AU57"/>
    <mergeCell ref="AP58:AU58"/>
    <mergeCell ref="AP37:AU37"/>
    <mergeCell ref="AP38:AU38"/>
    <mergeCell ref="AP39:AU39"/>
    <mergeCell ref="AP40:AU40"/>
    <mergeCell ref="AP41:AU41"/>
    <mergeCell ref="AP42:AU42"/>
    <mergeCell ref="AP32:AU32"/>
    <mergeCell ref="AP33:AU33"/>
    <mergeCell ref="AP34:AU34"/>
    <mergeCell ref="AP35:AU35"/>
    <mergeCell ref="AP36:AU36"/>
    <mergeCell ref="AP31:AU31"/>
    <mergeCell ref="A10:C13"/>
    <mergeCell ref="D10:AL10"/>
    <mergeCell ref="AN10:AO11"/>
    <mergeCell ref="AP10:AU13"/>
    <mergeCell ref="AN12:AN13"/>
    <mergeCell ref="AP19:AU19"/>
    <mergeCell ref="AP20:AU20"/>
    <mergeCell ref="AP21:AU21"/>
    <mergeCell ref="AP22:AU22"/>
    <mergeCell ref="AP25:AU25"/>
    <mergeCell ref="AP26:AU26"/>
    <mergeCell ref="AP27:AU27"/>
    <mergeCell ref="AP28:AU28"/>
    <mergeCell ref="AP29:AU29"/>
    <mergeCell ref="AP30:AU30"/>
    <mergeCell ref="AP23:AU23"/>
    <mergeCell ref="AP24:AU24"/>
    <mergeCell ref="AO12:AO13"/>
    <mergeCell ref="AP14:AU14"/>
    <mergeCell ref="AP15:AU15"/>
    <mergeCell ref="AP16:AU16"/>
    <mergeCell ref="AP17:AU17"/>
    <mergeCell ref="AP18:AU18"/>
    <mergeCell ref="A2:AU2"/>
    <mergeCell ref="A3:AU3"/>
    <mergeCell ref="C6:E6"/>
    <mergeCell ref="L6:Q6"/>
    <mergeCell ref="S6:Z6"/>
    <mergeCell ref="AB6:AN6"/>
    <mergeCell ref="C8:Q8"/>
    <mergeCell ref="W8:Z8"/>
    <mergeCell ref="AB8:AC8"/>
    <mergeCell ref="AD8:AF8"/>
    <mergeCell ref="AH8:AS8"/>
  </mergeCells>
  <conditionalFormatting sqref="A14:I14 J14:N63 P14:T63 V14:Z63 AB14:AM63 AA14:AA64 O14:O114 U14:U114 A15:H63 I15:I114 A65:H114 J65:N114 P65:T114 V65:AM114">
    <cfRule type="expression" dxfId="2" priority="2">
      <formula>#REF!=1</formula>
    </cfRule>
  </conditionalFormatting>
  <conditionalFormatting sqref="AN14:AO114">
    <cfRule type="expression" dxfId="1" priority="1">
      <formula>#REF!=1</formula>
    </cfRule>
  </conditionalFormatting>
  <conditionalFormatting sqref="AP14:AU63 AP65:AU114">
    <cfRule type="expression" dxfId="0" priority="3">
      <formula>#REF!=1</formula>
    </cfRule>
  </conditionalFormatting>
  <dataValidations count="3">
    <dataValidation allowBlank="1" showInputMessage="1" showErrorMessage="1" prompt="Name entry is not allowed in this cell. Please go to SF1 to type names." sqref="B14:C63 B65:C114" xr:uid="{0EFA127A-893E-4D2A-B8FE-35F579131778}"/>
    <dataValidation type="list" allowBlank="1" showDropDown="1" showInputMessage="1" showErrorMessage="1" error="You have entered an invalid value! Please try again." prompt="X=Absent_x000a_T=Tardy_x000a_AM=Absent in the morning_x000a_CC=Cutting Classes_x000a_LE=Late Enrolment_x000a_T/I=Transferred In_x000a_T/O=Transferred Out_x000a_DRP=Dropped" sqref="D14:H63 J14:N63 P14:T63 V14:Z63 AB14:AM63 AB65:AM114 J65:N114 P65:T114 V65:Z114 D65:H114" xr:uid="{B06518E6-4E29-469E-AAC4-DED619353CE9}">
      <formula1>"X,T,AM,CC,LE,T/I,T/O,DRP,x,t,am,cc,le,t/i,t/o,drp"</formula1>
    </dataValidation>
    <dataValidation allowBlank="1" showDropDown="1" showInputMessage="1" showErrorMessage="1" sqref="AA14:AA116 U14:U116 O14:O116 I14:I116" xr:uid="{521D6C9F-B758-40E9-827E-B5EF58031720}"/>
  </dataValidations>
  <pageMargins left="0.17" right="0.16" top="0.18" bottom="0.19" header="0.17" footer="0.16"/>
  <pageSetup paperSize="9" scale="61"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template</vt:lpstr>
      <vt:lpstr>template!Print_Titles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Deped</dc:creator>
  <cp:keywords/>
  <dc:description/>
  <cp:lastModifiedBy>Lifestyle Health Update</cp:lastModifiedBy>
  <cp:revision/>
  <cp:lastPrinted>2026-08-05T03:59:07Z</cp:lastPrinted>
  <dcterms:created xsi:type="dcterms:W3CDTF">2012-07-23T16:09:53Z</dcterms:created>
  <dcterms:modified xsi:type="dcterms:W3CDTF">2026-08-09T02:29:55Z</dcterms:modified>
  <cp:category/>
  <cp:contentStatus/>
</cp:coreProperties>
</file>